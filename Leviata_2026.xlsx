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6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codeName="EstaPastaDeTrabalho"/>
  <mc:AlternateContent xmlns:mc="http://schemas.openxmlformats.org/markup-compatibility/2006">
    <mc:Choice Requires="x15">
      <x15ac:absPath xmlns:x15ac="http://schemas.microsoft.com/office/spreadsheetml/2010/11/ac" url="C:\Users\Observador do abismo\Desktop\Projetos - Ciencia de dados\Aplicativos\"/>
    </mc:Choice>
  </mc:AlternateContent>
  <xr:revisionPtr revIDLastSave="0" documentId="13_ncr:1_{9223E471-BCA0-4763-B65A-0E999BE0BE75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2026" sheetId="11" r:id="rId1"/>
    <sheet name="Medidores" sheetId="2" r:id="rId2"/>
    <sheet name="Meu capital" sheetId="3" r:id="rId3"/>
    <sheet name="Dias de negociação" sheetId="4" r:id="rId4"/>
    <sheet name="Observações" sheetId="5" r:id="rId5"/>
    <sheet name="Planos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CalcA1ExcelA1"/>
    </ext>
  </extLst>
</workbook>
</file>

<file path=xl/calcChain.xml><?xml version="1.0" encoding="utf-8"?>
<calcChain xmlns="http://schemas.openxmlformats.org/spreadsheetml/2006/main">
  <c r="R2" i="6" l="1"/>
  <c r="D6" i="11"/>
  <c r="E6" i="11" s="1"/>
  <c r="D4" i="11"/>
  <c r="E4" i="11" s="1"/>
  <c r="D5" i="11"/>
  <c r="E5" i="11" s="1"/>
  <c r="D3" i="11"/>
  <c r="E3" i="11" s="1"/>
  <c r="D2" i="11"/>
  <c r="E2" i="11" s="1"/>
  <c r="S2" i="6"/>
  <c r="P14" i="6"/>
  <c r="N8" i="6"/>
  <c r="O2" i="6" s="1"/>
  <c r="L8" i="6"/>
  <c r="K2" i="2"/>
  <c r="L2" i="2" s="1"/>
  <c r="I2" i="2"/>
  <c r="B2" i="2" l="1"/>
  <c r="H2" i="2"/>
</calcChain>
</file>

<file path=xl/sharedStrings.xml><?xml version="1.0" encoding="utf-8"?>
<sst xmlns="http://schemas.openxmlformats.org/spreadsheetml/2006/main" count="142" uniqueCount="130">
  <si>
    <t>Moeda</t>
  </si>
  <si>
    <t>Porc.</t>
  </si>
  <si>
    <t>Ano</t>
  </si>
  <si>
    <t>Janeiro</t>
  </si>
  <si>
    <t>Novembro</t>
  </si>
  <si>
    <t>Dezembro</t>
  </si>
  <si>
    <t>Salário antigo</t>
  </si>
  <si>
    <t>Rendimento atual</t>
  </si>
  <si>
    <t>Almejado</t>
  </si>
  <si>
    <t>Objetivo</t>
  </si>
  <si>
    <t>Investindo</t>
  </si>
  <si>
    <t>Capital rec.</t>
  </si>
  <si>
    <t>Sem. Est</t>
  </si>
  <si>
    <t>Acerto</t>
  </si>
  <si>
    <t>Erro</t>
  </si>
  <si>
    <t>Mensal antigo</t>
  </si>
  <si>
    <t>Mensal novo</t>
  </si>
  <si>
    <t>Renda variável</t>
  </si>
  <si>
    <t>Poupança</t>
  </si>
  <si>
    <t>Capital base</t>
  </si>
  <si>
    <t>Observações</t>
  </si>
  <si>
    <t>Crédito bancário</t>
  </si>
  <si>
    <t>2,10</t>
  </si>
  <si>
    <t>Abril foi um mês de muitas correções e erros.</t>
  </si>
  <si>
    <t>Estou fechando com saldo negativo no mês, só espero que dê tudo certo…</t>
  </si>
  <si>
    <t>Até 50000 eu considero como a 1ª fase do projeto Leviatã.</t>
  </si>
  <si>
    <t>Objetivos</t>
  </si>
  <si>
    <t>Objetivo 1</t>
  </si>
  <si>
    <t>Objetivo 2</t>
  </si>
  <si>
    <t>Objetivo 3</t>
  </si>
  <si>
    <t>Objetivo 4</t>
  </si>
  <si>
    <t>Objetivo 5</t>
  </si>
  <si>
    <t>Objetivo 6</t>
  </si>
  <si>
    <t>Objetivo 7</t>
  </si>
  <si>
    <t>Objetivo 8</t>
  </si>
  <si>
    <t>Objetivo 9</t>
  </si>
  <si>
    <t>Risco  1</t>
  </si>
  <si>
    <t>Baixo</t>
  </si>
  <si>
    <t>Risco 2</t>
  </si>
  <si>
    <t>Médio</t>
  </si>
  <si>
    <t>Risco 3</t>
  </si>
  <si>
    <t>Máximo</t>
  </si>
  <si>
    <t>Seg</t>
  </si>
  <si>
    <t>Terç</t>
  </si>
  <si>
    <t>Quart</t>
  </si>
  <si>
    <t>Quinta</t>
  </si>
  <si>
    <t>Sexta</t>
  </si>
  <si>
    <t>Sábado</t>
  </si>
  <si>
    <t>Domingo</t>
  </si>
  <si>
    <t>Abertura  de tendência ás 3:00</t>
  </si>
  <si>
    <t>Início das negociações ás 18:00</t>
  </si>
  <si>
    <t>Picos de alta entre ás 9:00 e 14:00</t>
  </si>
  <si>
    <t>Picos de baixa á partir das 18:00 ás 21:00</t>
  </si>
  <si>
    <t>Refere-se aos melhores dias para compra</t>
  </si>
  <si>
    <t>Melhores horários para venda.</t>
  </si>
  <si>
    <t>Melhores horários para compra.(Fazer análise antes)</t>
  </si>
  <si>
    <t>Obs: Fazer análise de cenários com tendência no longo-termo e indicadores de reversão.</t>
  </si>
  <si>
    <t>Novembro/23</t>
  </si>
  <si>
    <t>Obs: Consigo gerar um salário e meio ao mês. Meu objetivo é gerar o salário de um cientista de dados ainda em Dezembro ou Janeiro.</t>
  </si>
  <si>
    <t>Dezembro/23</t>
  </si>
  <si>
    <t>Janeiro de 2024 começou muito mal, devido aos investidores mais conservadores que não negociam os ativos.</t>
  </si>
  <si>
    <t>A alternativa de investimento a longo prazo, não se mostrou eficaz, em decorrência do pouco movimento entre os mesmos.</t>
  </si>
  <si>
    <t>Nota-se, que muitos investidores de criptoativos, possuem poucos recursos, e alocam 400 reais, na expectativa ilusória de gerar liquidez de mais de 100%.</t>
  </si>
  <si>
    <t>A melhor opção - até o momento - , foi a de investir na baixa e vender na primeira alta, não se arriscanco muito em busca de valores de retorno superiores.</t>
  </si>
  <si>
    <t>A alternativa de investimento a longo prazo, apresentou resultado favorável com Tron.</t>
  </si>
  <si>
    <t>A estratégia de defender com um ativo e atacar com outro é menos arriscada, porém mais segura.</t>
  </si>
  <si>
    <t>A posição do investimento em Tron é excelente e apresentou um dos melhores resultados até aqui.</t>
  </si>
  <si>
    <t>Algumas diversificações em cripto, não se mostram tão eficazes como deveriam. Deve-se ter em mente que a teoria de Markowitz não for a empregada em setores</t>
  </si>
  <si>
    <t>do tipo. Teoria esta, considerada ultrapassada para os tempos atuais.</t>
  </si>
  <si>
    <t>Tron, aparenta ser a melhor opção até aqui, incluindo -mas não se limitando- para day trade e investimentos de longo prazo.</t>
  </si>
  <si>
    <t>Swing trade não gerou o resultado esperado.</t>
  </si>
  <si>
    <t>Arbitrum – Sem o resultado esperado</t>
  </si>
  <si>
    <t>Apecoin – Sem o resultado esperado</t>
  </si>
  <si>
    <t>Tron – Oferece o menor risco, maior estabilidade, mas também um ganho modesto. No momento atual, é a melhor opção.</t>
  </si>
  <si>
    <t>A rede Tron, parece ser construída em outra blockchain, o que torna o preço da mesma, menos impactada em comparação as demais.</t>
  </si>
  <si>
    <t>Arbitrum está correspondendo bem com poucos recursos. Verificarei com um pouco mais de investimentos.</t>
  </si>
  <si>
    <t>PEPE – Surpreendentemente me impressionou ao apresentar  21.44% de liquidez</t>
  </si>
  <si>
    <t>Fazer Staking de cripto não entregou o resultado esperado</t>
  </si>
  <si>
    <t>A estratégia atual inclui fazer staking com algumas criptos mais estáveis e trade com Pepe, devido a sua alta volatilidade e ganho potencial.</t>
  </si>
  <si>
    <t>É extremamente recomendável que, as estratégias dos investidores ou traders, se adapte as circunstâncias do mercado, para evitar</t>
  </si>
  <si>
    <t>perdas ou ganhos.</t>
  </si>
  <si>
    <t>Pepe e outras memecoins apresentaram um desempenho surpreendente em comparação as demais altcoins. O sistema de recompensas para investidores de longo prazo é muito eficaz.</t>
  </si>
  <si>
    <t>Pepe entregou os melhores resultados até aqui.</t>
  </si>
  <si>
    <t>O valor perdido com a Binance foi recuperado.</t>
  </si>
  <si>
    <t>Valor do FIES em produção. Alcançado.</t>
  </si>
  <si>
    <t>Tentando superar a barreira dos 10000</t>
  </si>
  <si>
    <t>Após o curso da PUC, meu índice de acerto aumentou muito, assim como a liquidez, devido ao controle psicológico.</t>
  </si>
  <si>
    <t>Tanto a análise técnica, quanto a  dica sobre gestão do risco me ajudaram muito, em comparação ao curso da USP, é muito mais pragmática e eficaz.</t>
  </si>
  <si>
    <t>Errei mais em 2023, mas em 2024, após o Halving e os processos dos ETFs e do curso de investimentos, melhorei significativamente.</t>
  </si>
  <si>
    <t>A leitura de manuscritos economicos filosóficos do Karl Marx, impactou positivamente o resultado do meu capital, já que pude compreender de modo aprofundado</t>
  </si>
  <si>
    <t>os aspectos característicos de formação de capital, salário, renda, ganho de capital e liquidez, além de outros elementos teoricamente significativos.</t>
  </si>
  <si>
    <t>Ter uma renda mensal ajudou a corrigir a defasagem em termos de erro do projeto em 100%</t>
  </si>
  <si>
    <t>Casa</t>
  </si>
  <si>
    <t>Investimentos</t>
  </si>
  <si>
    <t>Patrimônio reinicial</t>
  </si>
  <si>
    <t>Alimentação</t>
  </si>
  <si>
    <t>Moto</t>
  </si>
  <si>
    <t>Fatura</t>
  </si>
  <si>
    <t>Custos mensais</t>
  </si>
  <si>
    <t>Moradia</t>
  </si>
  <si>
    <t>Intempérie dos ETF</t>
  </si>
  <si>
    <t>Quitada</t>
  </si>
  <si>
    <t>Fev</t>
  </si>
  <si>
    <t>Març</t>
  </si>
  <si>
    <t>maio</t>
  </si>
  <si>
    <t>Total de abril</t>
  </si>
  <si>
    <t>jun</t>
  </si>
  <si>
    <t>Custos totais dos meses</t>
  </si>
  <si>
    <t>julho</t>
  </si>
  <si>
    <t>agost</t>
  </si>
  <si>
    <t>set</t>
  </si>
  <si>
    <t>Depois que pagar o FIES, iniciar o meu estúdio.</t>
  </si>
  <si>
    <t>out</t>
  </si>
  <si>
    <t>Pagar o FIES após chegar aos 10000</t>
  </si>
  <si>
    <t>Dívidas totais</t>
  </si>
  <si>
    <t>Corrigir até dia 20</t>
  </si>
  <si>
    <t>Mercado pago</t>
  </si>
  <si>
    <t>Não consegui emprego como cientista de dados e terei que voltar a dar aulas</t>
  </si>
  <si>
    <t>índice de força</t>
  </si>
  <si>
    <t>Dívida Milene</t>
  </si>
  <si>
    <t>Computador</t>
  </si>
  <si>
    <t>BERA</t>
  </si>
  <si>
    <t>BIO</t>
  </si>
  <si>
    <t>Inv</t>
  </si>
  <si>
    <t>Conv</t>
  </si>
  <si>
    <t>Liq</t>
  </si>
  <si>
    <t>Perc</t>
  </si>
  <si>
    <t>Mês</t>
  </si>
  <si>
    <t>AXS</t>
  </si>
  <si>
    <t>MORPHO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</si>
</sst>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[$-409]General"/>
    <numFmt numFmtId="165" formatCode="[$$-409]#,##0.00;[Red]\-[$$-409]#,##0.00"/>
    <numFmt numFmtId="166" formatCode="[$R$-416]\ #,##0.00;[Red]\-[$R$-416]\ #,##0.00"/>
    <numFmt numFmtId="167" formatCode="[$-409]#,##0.00"/>
    <numFmt numFmtId="168" formatCode="[$-409]0.00"/>
    <numFmt numFmtId="169" formatCode="[$-409]0.00%"/>
    <numFmt numFmtId="170" formatCode="[$-409]0%"/>
    <numFmt numFmtId="171" formatCode="[$-409]hh:mm:ss\ AM/PM"/>
  </numFmts>
  <fonts count="13">
    <font>
      <sz val="10"/>
      <name val="Arial"/>
      <family val="2"/>
      <charset val="1"/>
    </font>
    <font>
      <sz val="10"/>
      <color rgb="FFC0C0C0"/>
      <name val="Arial"/>
      <family val="2"/>
      <charset val="1"/>
    </font>
    <font>
      <b/>
      <sz val="10"/>
      <color rgb="FF000000"/>
      <name val="Arial"/>
      <family val="2"/>
      <charset val="1"/>
    </font>
    <font>
      <sz val="12"/>
      <name val="Times New Roman"/>
      <family val="1"/>
      <charset val="1"/>
    </font>
    <font>
      <sz val="10"/>
      <name val="Arial"/>
      <family val="2"/>
      <charset val="1"/>
    </font>
    <font>
      <sz val="12"/>
      <color theme="2"/>
      <name val="Times New Roman"/>
      <family val="1"/>
      <charset val="1"/>
    </font>
    <font>
      <b/>
      <sz val="12"/>
      <color theme="2"/>
      <name val="Tibetan Machine Uni"/>
      <charset val="1"/>
    </font>
    <font>
      <sz val="10"/>
      <color theme="2"/>
      <name val="Arial"/>
      <family val="2"/>
      <charset val="1"/>
    </font>
    <font>
      <b/>
      <sz val="12"/>
      <color theme="2"/>
      <name val="Times New Roman"/>
      <family val="1"/>
      <charset val="1"/>
    </font>
    <font>
      <sz val="12"/>
      <color theme="2"/>
      <name val="Tibetan Machine Uni"/>
      <charset val="1"/>
    </font>
    <font>
      <u/>
      <sz val="10"/>
      <name val="Arial"/>
      <family val="2"/>
      <charset val="1"/>
    </font>
    <font>
      <b/>
      <u/>
      <sz val="12"/>
      <color theme="2"/>
      <name val="Times New Roman"/>
      <family val="1"/>
      <charset val="1"/>
    </font>
    <font>
      <u/>
      <sz val="12"/>
      <color theme="2"/>
      <name val="Times New Roman"/>
      <family val="1"/>
      <charset val="1"/>
    </font>
  </fonts>
  <fills count="27">
    <fill>
      <patternFill patternType="none"/>
    </fill>
    <fill>
      <patternFill patternType="gray125"/>
    </fill>
    <fill>
      <patternFill patternType="solid">
        <fgColor rgb="FFFFFFCC"/>
        <bgColor rgb="FFFFFFFF"/>
      </patternFill>
    </fill>
    <fill>
      <patternFill patternType="solid">
        <fgColor rgb="FF333300"/>
        <bgColor rgb="FF443205"/>
      </patternFill>
    </fill>
    <fill>
      <patternFill patternType="solid">
        <fgColor rgb="FFFFCC00"/>
        <bgColor rgb="FFFFFF00"/>
      </patternFill>
    </fill>
    <fill>
      <patternFill patternType="solid">
        <fgColor rgb="FFE6E6E6"/>
        <bgColor rgb="FFFFFFFF"/>
      </patternFill>
    </fill>
    <fill>
      <patternFill patternType="solid">
        <fgColor rgb="FF808080"/>
        <bgColor rgb="FF999999"/>
      </patternFill>
    </fill>
    <fill>
      <patternFill patternType="solid">
        <fgColor rgb="FF000000"/>
        <bgColor rgb="FF2C0000"/>
      </patternFill>
    </fill>
    <fill>
      <patternFill patternType="solid">
        <fgColor rgb="FF333333"/>
        <bgColor rgb="FF333300"/>
      </patternFill>
    </fill>
    <fill>
      <patternFill patternType="solid">
        <fgColor rgb="FF5983B0"/>
        <bgColor rgb="FF808080"/>
      </patternFill>
    </fill>
    <fill>
      <patternFill patternType="solid">
        <fgColor rgb="FFB2B2B2"/>
        <bgColor rgb="FFB3B3B3"/>
      </patternFill>
    </fill>
    <fill>
      <patternFill patternType="solid">
        <fgColor rgb="FF999999"/>
        <bgColor rgb="FF808080"/>
      </patternFill>
    </fill>
    <fill>
      <patternFill patternType="solid">
        <fgColor rgb="FF666666"/>
        <bgColor rgb="FF808080"/>
      </patternFill>
    </fill>
    <fill>
      <patternFill patternType="solid">
        <fgColor rgb="FF1C1C1C"/>
        <bgColor rgb="FF333333"/>
      </patternFill>
    </fill>
    <fill>
      <patternFill patternType="solid">
        <fgColor rgb="FF8D281E"/>
        <bgColor rgb="FF993366"/>
      </patternFill>
    </fill>
    <fill>
      <patternFill patternType="solid">
        <fgColor rgb="FF650953"/>
        <bgColor rgb="FF800080"/>
      </patternFill>
    </fill>
    <fill>
      <patternFill patternType="solid">
        <fgColor rgb="FF443205"/>
        <bgColor rgb="FF333300"/>
      </patternFill>
    </fill>
    <fill>
      <patternFill patternType="solid">
        <fgColor rgb="FFFFFFFF"/>
        <bgColor rgb="FFFFFFCC"/>
      </patternFill>
    </fill>
    <fill>
      <patternFill patternType="solid">
        <fgColor rgb="FFFF0000"/>
        <bgColor rgb="FFCC0000"/>
      </patternFill>
    </fill>
    <fill>
      <patternFill patternType="solid">
        <fgColor rgb="FFB85C00"/>
        <bgColor rgb="FFFF420E"/>
      </patternFill>
    </fill>
    <fill>
      <patternFill patternType="solid">
        <fgColor rgb="FF3E3E00"/>
        <bgColor rgb="FF443205"/>
      </patternFill>
    </fill>
    <fill>
      <patternFill patternType="solid">
        <fgColor rgb="FF2C0000"/>
        <bgColor rgb="FF000000"/>
      </patternFill>
    </fill>
    <fill>
      <patternFill patternType="solid">
        <fgColor rgb="FFCC0000"/>
        <bgColor rgb="FFFF0000"/>
      </patternFill>
    </fill>
    <fill>
      <patternFill patternType="solid">
        <fgColor rgb="FFC5D3FF"/>
        <bgColor rgb="FF333300"/>
      </patternFill>
    </fill>
    <fill>
      <patternFill patternType="solid">
        <fgColor rgb="FFFF0000"/>
        <bgColor rgb="FF00763B"/>
      </patternFill>
    </fill>
    <fill>
      <patternFill patternType="solid">
        <fgColor rgb="FFFF0000"/>
        <bgColor rgb="FF333300"/>
      </patternFill>
    </fill>
    <fill>
      <patternFill patternType="solid">
        <fgColor theme="1"/>
        <bgColor rgb="FF999999"/>
      </patternFill>
    </fill>
  </fills>
  <borders count="25">
    <border>
      <left/>
      <right/>
      <top/>
      <bottom/>
      <diagonal/>
    </border>
    <border>
      <left/>
      <right/>
      <top/>
      <bottom style="hair">
        <color rgb="FF000080"/>
      </bottom>
      <diagonal/>
    </border>
    <border>
      <left style="hair">
        <color rgb="FF000080"/>
      </left>
      <right/>
      <top/>
      <bottom style="hair">
        <color rgb="FF000080"/>
      </bottom>
      <diagonal/>
    </border>
    <border>
      <left/>
      <right style="hair">
        <color rgb="FF000080"/>
      </right>
      <top/>
      <bottom style="hair">
        <color rgb="FF000080"/>
      </bottom>
      <diagonal/>
    </border>
    <border>
      <left style="hair">
        <color rgb="FF000080"/>
      </left>
      <right/>
      <top/>
      <bottom/>
      <diagonal/>
    </border>
    <border>
      <left/>
      <right style="hair">
        <color rgb="FF000080"/>
      </right>
      <top/>
      <bottom/>
      <diagonal/>
    </border>
    <border>
      <left/>
      <right/>
      <top style="hair">
        <color rgb="FF000080"/>
      </top>
      <bottom/>
      <diagonal/>
    </border>
    <border>
      <left style="hair">
        <color rgb="FF000080"/>
      </left>
      <right/>
      <top style="hair">
        <color rgb="FF000080"/>
      </top>
      <bottom/>
      <diagonal/>
    </border>
    <border>
      <left/>
      <right style="hair">
        <color rgb="FF000080"/>
      </right>
      <top style="hair">
        <color rgb="FF000080"/>
      </top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/>
      <top style="hair">
        <color auto="1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/>
      <top/>
      <bottom style="hair">
        <color auto="1"/>
      </bottom>
      <diagonal/>
    </border>
    <border>
      <left style="hair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hair">
        <color auto="1"/>
      </right>
      <top style="thin">
        <color auto="1"/>
      </top>
      <bottom style="thin">
        <color auto="1"/>
      </bottom>
      <diagonal/>
    </border>
    <border>
      <left/>
      <right style="hair">
        <color auto="1"/>
      </right>
      <top/>
      <bottom style="hair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/>
      <diagonal/>
    </border>
  </borders>
  <cellStyleXfs count="14">
    <xf numFmtId="164" fontId="0" fillId="2" borderId="0">
      <alignment vertical="center"/>
    </xf>
    <xf numFmtId="164" fontId="1" fillId="3" borderId="0" applyBorder="0" applyProtection="0">
      <alignment vertical="center"/>
    </xf>
    <xf numFmtId="164" fontId="4" fillId="4" borderId="0" applyBorder="0" applyProtection="0">
      <alignment horizontal="right" vertical="center"/>
    </xf>
    <xf numFmtId="164" fontId="4" fillId="4" borderId="1" applyProtection="0">
      <alignment horizontal="right" vertical="center"/>
    </xf>
    <xf numFmtId="164" fontId="4" fillId="4" borderId="2" applyProtection="0">
      <alignment horizontal="right" vertical="center"/>
    </xf>
    <xf numFmtId="164" fontId="4" fillId="4" borderId="3" applyProtection="0">
      <alignment horizontal="right" vertical="center"/>
    </xf>
    <xf numFmtId="164" fontId="4" fillId="4" borderId="4" applyProtection="0">
      <alignment horizontal="right" vertical="center"/>
    </xf>
    <xf numFmtId="164" fontId="4" fillId="4" borderId="5" applyProtection="0">
      <alignment horizontal="right" vertical="center"/>
    </xf>
    <xf numFmtId="164" fontId="4" fillId="4" borderId="6" applyProtection="0">
      <alignment horizontal="right" vertical="center"/>
    </xf>
    <xf numFmtId="164" fontId="4" fillId="4" borderId="7" applyProtection="0">
      <alignment horizontal="right" vertical="center"/>
    </xf>
    <xf numFmtId="164" fontId="4" fillId="4" borderId="8" applyProtection="0">
      <alignment horizontal="right" vertical="center"/>
    </xf>
    <xf numFmtId="164" fontId="4" fillId="4" borderId="0" applyBorder="0" applyProtection="0">
      <alignment horizontal="right"/>
    </xf>
    <xf numFmtId="165" fontId="4" fillId="0" borderId="9">
      <alignment vertical="center"/>
      <protection locked="0"/>
    </xf>
    <xf numFmtId="166" fontId="2" fillId="5" borderId="9" applyProtection="0">
      <alignment vertical="center"/>
    </xf>
  </cellStyleXfs>
  <cellXfs count="76">
    <xf numFmtId="164" fontId="0" fillId="2" borderId="0" xfId="0">
      <alignment vertical="center"/>
    </xf>
    <xf numFmtId="164" fontId="0" fillId="2" borderId="19" xfId="0" applyBorder="1">
      <alignment vertical="center"/>
    </xf>
    <xf numFmtId="164" fontId="0" fillId="7" borderId="0" xfId="0" applyFill="1">
      <alignment vertical="center"/>
    </xf>
    <xf numFmtId="169" fontId="0" fillId="7" borderId="0" xfId="0" applyNumberFormat="1" applyFill="1">
      <alignment vertical="center"/>
    </xf>
    <xf numFmtId="164" fontId="0" fillId="8" borderId="0" xfId="0" applyFill="1">
      <alignment vertical="center"/>
    </xf>
    <xf numFmtId="164" fontId="1" fillId="7" borderId="0" xfId="1" applyFill="1" applyBorder="1" applyProtection="1">
      <alignment vertical="center"/>
    </xf>
    <xf numFmtId="164" fontId="0" fillId="8" borderId="11" xfId="0" applyFill="1" applyBorder="1">
      <alignment vertical="center"/>
    </xf>
    <xf numFmtId="164" fontId="0" fillId="8" borderId="12" xfId="0" applyFill="1" applyBorder="1">
      <alignment vertical="center"/>
    </xf>
    <xf numFmtId="164" fontId="0" fillId="8" borderId="13" xfId="0" applyFill="1" applyBorder="1">
      <alignment vertical="center"/>
    </xf>
    <xf numFmtId="164" fontId="0" fillId="8" borderId="14" xfId="0" applyFill="1" applyBorder="1">
      <alignment vertical="center"/>
    </xf>
    <xf numFmtId="164" fontId="0" fillId="8" borderId="15" xfId="0" applyFill="1" applyBorder="1">
      <alignment vertical="center"/>
    </xf>
    <xf numFmtId="164" fontId="0" fillId="8" borderId="16" xfId="0" applyFill="1" applyBorder="1">
      <alignment vertical="center"/>
    </xf>
    <xf numFmtId="164" fontId="0" fillId="8" borderId="17" xfId="0" applyFill="1" applyBorder="1">
      <alignment vertical="center"/>
    </xf>
    <xf numFmtId="167" fontId="0" fillId="8" borderId="0" xfId="0" applyNumberFormat="1" applyFill="1">
      <alignment vertical="center"/>
    </xf>
    <xf numFmtId="167" fontId="0" fillId="8" borderId="0" xfId="0" applyNumberFormat="1" applyFill="1" applyAlignment="1">
      <alignment horizontal="right" vertical="center"/>
    </xf>
    <xf numFmtId="169" fontId="0" fillId="8" borderId="0" xfId="0" applyNumberFormat="1" applyFill="1">
      <alignment vertical="center"/>
    </xf>
    <xf numFmtId="164" fontId="0" fillId="8" borderId="21" xfId="0" applyFill="1" applyBorder="1">
      <alignment vertical="center"/>
    </xf>
    <xf numFmtId="164" fontId="0" fillId="9" borderId="10" xfId="0" applyFill="1" applyBorder="1">
      <alignment vertical="center"/>
    </xf>
    <xf numFmtId="164" fontId="0" fillId="2" borderId="22" xfId="0" applyBorder="1">
      <alignment vertical="center"/>
    </xf>
    <xf numFmtId="164" fontId="0" fillId="2" borderId="23" xfId="0" applyBorder="1">
      <alignment vertical="center"/>
    </xf>
    <xf numFmtId="171" fontId="0" fillId="2" borderId="10" xfId="0" applyNumberFormat="1" applyBorder="1">
      <alignment vertical="center"/>
    </xf>
    <xf numFmtId="171" fontId="0" fillId="10" borderId="10" xfId="0" applyNumberFormat="1" applyFill="1" applyBorder="1">
      <alignment vertical="center"/>
    </xf>
    <xf numFmtId="171" fontId="0" fillId="11" borderId="10" xfId="0" applyNumberFormat="1" applyFill="1" applyBorder="1">
      <alignment vertical="center"/>
    </xf>
    <xf numFmtId="171" fontId="0" fillId="12" borderId="10" xfId="0" applyNumberFormat="1" applyFill="1" applyBorder="1">
      <alignment vertical="center"/>
    </xf>
    <xf numFmtId="171" fontId="0" fillId="8" borderId="10" xfId="0" applyNumberFormat="1" applyFill="1" applyBorder="1">
      <alignment vertical="center"/>
    </xf>
    <xf numFmtId="171" fontId="0" fillId="13" borderId="10" xfId="0" applyNumberFormat="1" applyFill="1" applyBorder="1">
      <alignment vertical="center"/>
    </xf>
    <xf numFmtId="171" fontId="0" fillId="14" borderId="10" xfId="0" applyNumberFormat="1" applyFill="1" applyBorder="1">
      <alignment vertical="center"/>
    </xf>
    <xf numFmtId="171" fontId="0" fillId="15" borderId="10" xfId="0" applyNumberFormat="1" applyFill="1" applyBorder="1">
      <alignment vertical="center"/>
    </xf>
    <xf numFmtId="171" fontId="0" fillId="16" borderId="10" xfId="0" applyNumberFormat="1" applyFill="1" applyBorder="1">
      <alignment vertical="center"/>
    </xf>
    <xf numFmtId="171" fontId="0" fillId="17" borderId="10" xfId="0" applyNumberFormat="1" applyFill="1" applyBorder="1">
      <alignment vertical="center"/>
    </xf>
    <xf numFmtId="164" fontId="0" fillId="19" borderId="0" xfId="0" applyFill="1">
      <alignment vertical="center"/>
    </xf>
    <xf numFmtId="164" fontId="0" fillId="20" borderId="0" xfId="0" applyFill="1">
      <alignment vertical="center"/>
    </xf>
    <xf numFmtId="164" fontId="0" fillId="17" borderId="0" xfId="0" applyFill="1">
      <alignment vertical="center"/>
    </xf>
    <xf numFmtId="164" fontId="0" fillId="21" borderId="0" xfId="0" applyFill="1">
      <alignment vertical="center"/>
    </xf>
    <xf numFmtId="164" fontId="0" fillId="22" borderId="0" xfId="0" applyFill="1">
      <alignment vertical="center"/>
    </xf>
    <xf numFmtId="0" fontId="0" fillId="22" borderId="0" xfId="0" applyNumberFormat="1" applyFill="1">
      <alignment vertical="center"/>
    </xf>
    <xf numFmtId="0" fontId="0" fillId="2" borderId="0" xfId="0" applyNumberFormat="1">
      <alignment vertical="center"/>
    </xf>
    <xf numFmtId="164" fontId="6" fillId="7" borderId="10" xfId="0" applyFont="1" applyFill="1" applyBorder="1">
      <alignment vertical="center"/>
    </xf>
    <xf numFmtId="164" fontId="7" fillId="7" borderId="0" xfId="0" applyFont="1" applyFill="1">
      <alignment vertical="center"/>
    </xf>
    <xf numFmtId="164" fontId="8" fillId="7" borderId="10" xfId="0" applyFont="1" applyFill="1" applyBorder="1">
      <alignment vertical="center"/>
    </xf>
    <xf numFmtId="164" fontId="7" fillId="8" borderId="0" xfId="0" applyFont="1" applyFill="1">
      <alignment vertical="center"/>
    </xf>
    <xf numFmtId="164" fontId="7" fillId="2" borderId="0" xfId="0" applyFont="1">
      <alignment vertical="center"/>
    </xf>
    <xf numFmtId="168" fontId="9" fillId="7" borderId="10" xfId="0" applyNumberFormat="1" applyFont="1" applyFill="1" applyBorder="1">
      <alignment vertical="center"/>
    </xf>
    <xf numFmtId="168" fontId="5" fillId="7" borderId="10" xfId="0" applyNumberFormat="1" applyFont="1" applyFill="1" applyBorder="1">
      <alignment vertical="center"/>
    </xf>
    <xf numFmtId="168" fontId="5" fillId="7" borderId="10" xfId="0" applyNumberFormat="1" applyFont="1" applyFill="1" applyBorder="1" applyAlignment="1">
      <alignment horizontal="right" vertical="center"/>
    </xf>
    <xf numFmtId="0" fontId="5" fillId="7" borderId="10" xfId="0" applyNumberFormat="1" applyFont="1" applyFill="1" applyBorder="1">
      <alignment vertical="center"/>
    </xf>
    <xf numFmtId="169" fontId="5" fillId="7" borderId="10" xfId="0" applyNumberFormat="1" applyFont="1" applyFill="1" applyBorder="1">
      <alignment vertical="center"/>
    </xf>
    <xf numFmtId="164" fontId="11" fillId="7" borderId="10" xfId="0" applyFont="1" applyFill="1" applyBorder="1">
      <alignment vertical="center"/>
    </xf>
    <xf numFmtId="164" fontId="10" fillId="2" borderId="0" xfId="0" applyFont="1">
      <alignment vertical="center"/>
    </xf>
    <xf numFmtId="164" fontId="0" fillId="23" borderId="14" xfId="0" applyFill="1" applyBorder="1">
      <alignment vertical="center"/>
    </xf>
    <xf numFmtId="164" fontId="0" fillId="23" borderId="0" xfId="0" applyFill="1">
      <alignment vertical="center"/>
    </xf>
    <xf numFmtId="164" fontId="0" fillId="24" borderId="14" xfId="0" applyFill="1" applyBorder="1">
      <alignment vertical="center"/>
    </xf>
    <xf numFmtId="164" fontId="0" fillId="24" borderId="0" xfId="0" applyFill="1">
      <alignment vertical="center"/>
    </xf>
    <xf numFmtId="167" fontId="0" fillId="25" borderId="15" xfId="0" applyNumberFormat="1" applyFill="1" applyBorder="1">
      <alignment vertical="center"/>
    </xf>
    <xf numFmtId="164" fontId="0" fillId="25" borderId="14" xfId="0" applyFill="1" applyBorder="1">
      <alignment vertical="center"/>
    </xf>
    <xf numFmtId="164" fontId="0" fillId="25" borderId="0" xfId="0" applyFill="1">
      <alignment vertical="center"/>
    </xf>
    <xf numFmtId="164" fontId="0" fillId="25" borderId="16" xfId="0" applyFill="1" applyBorder="1">
      <alignment vertical="center"/>
    </xf>
    <xf numFmtId="164" fontId="0" fillId="25" borderId="17" xfId="0" applyFill="1" applyBorder="1">
      <alignment vertical="center"/>
    </xf>
    <xf numFmtId="164" fontId="0" fillId="25" borderId="18" xfId="0" applyFill="1" applyBorder="1">
      <alignment vertical="center"/>
    </xf>
    <xf numFmtId="167" fontId="0" fillId="25" borderId="19" xfId="0" applyNumberFormat="1" applyFill="1" applyBorder="1" applyAlignment="1">
      <alignment horizontal="right" vertical="center"/>
    </xf>
    <xf numFmtId="170" fontId="0" fillId="25" borderId="20" xfId="0" applyNumberFormat="1" applyFill="1" applyBorder="1">
      <alignment vertical="center"/>
    </xf>
    <xf numFmtId="164" fontId="0" fillId="25" borderId="19" xfId="0" applyFill="1" applyBorder="1">
      <alignment vertical="center"/>
    </xf>
    <xf numFmtId="164" fontId="10" fillId="8" borderId="0" xfId="0" applyFont="1" applyFill="1">
      <alignment vertical="center"/>
    </xf>
    <xf numFmtId="164" fontId="10" fillId="7" borderId="0" xfId="0" applyFont="1" applyFill="1">
      <alignment vertical="center"/>
    </xf>
    <xf numFmtId="167" fontId="3" fillId="6" borderId="24" xfId="0" applyNumberFormat="1" applyFont="1" applyFill="1" applyBorder="1">
      <alignment vertical="center"/>
    </xf>
    <xf numFmtId="164" fontId="10" fillId="18" borderId="0" xfId="0" applyFont="1" applyFill="1">
      <alignment vertical="center"/>
    </xf>
    <xf numFmtId="167" fontId="9" fillId="7" borderId="10" xfId="0" applyNumberFormat="1" applyFont="1" applyFill="1" applyBorder="1">
      <alignment vertical="center"/>
    </xf>
    <xf numFmtId="167" fontId="3" fillId="6" borderId="15" xfId="0" applyNumberFormat="1" applyFont="1" applyFill="1" applyBorder="1">
      <alignment vertical="center"/>
    </xf>
    <xf numFmtId="164" fontId="12" fillId="26" borderId="24" xfId="0" applyFont="1" applyFill="1" applyBorder="1">
      <alignment vertical="center"/>
    </xf>
    <xf numFmtId="10" fontId="5" fillId="26" borderId="24" xfId="0" applyNumberFormat="1" applyFont="1" applyFill="1" applyBorder="1">
      <alignment vertical="center"/>
    </xf>
    <xf numFmtId="167" fontId="3" fillId="6" borderId="14" xfId="0" applyNumberFormat="1" applyFont="1" applyFill="1" applyBorder="1">
      <alignment vertical="center"/>
    </xf>
    <xf numFmtId="164" fontId="12" fillId="26" borderId="0" xfId="0" applyFont="1" applyFill="1">
      <alignment vertical="center"/>
    </xf>
    <xf numFmtId="10" fontId="5" fillId="26" borderId="0" xfId="0" applyNumberFormat="1" applyFont="1" applyFill="1">
      <alignment vertical="center"/>
    </xf>
    <xf numFmtId="164" fontId="0" fillId="12" borderId="0" xfId="0" applyFill="1">
      <alignment vertical="center"/>
    </xf>
    <xf numFmtId="164" fontId="0" fillId="18" borderId="0" xfId="0" applyFill="1">
      <alignment vertical="center"/>
    </xf>
    <xf numFmtId="164" fontId="0" fillId="2" borderId="19" xfId="0" applyBorder="1">
      <alignment vertical="center"/>
    </xf>
  </cellXfs>
  <cellStyles count="14">
    <cellStyle name="Background" xfId="1" xr:uid="{00000000-0005-0000-0000-000006000000}"/>
    <cellStyle name="Card" xfId="2" xr:uid="{00000000-0005-0000-0000-000007000000}"/>
    <cellStyle name="Card B" xfId="3" xr:uid="{00000000-0005-0000-0000-000008000000}"/>
    <cellStyle name="Card BL" xfId="4" xr:uid="{00000000-0005-0000-0000-000009000000}"/>
    <cellStyle name="Card BR" xfId="5" xr:uid="{00000000-0005-0000-0000-00000A000000}"/>
    <cellStyle name="Card L" xfId="6" xr:uid="{00000000-0005-0000-0000-00000B000000}"/>
    <cellStyle name="Card R" xfId="7" xr:uid="{00000000-0005-0000-0000-00000C000000}"/>
    <cellStyle name="Card T" xfId="8" xr:uid="{00000000-0005-0000-0000-00000D000000}"/>
    <cellStyle name="Card TL" xfId="9" xr:uid="{00000000-0005-0000-0000-00000E000000}"/>
    <cellStyle name="Card TR" xfId="10" xr:uid="{00000000-0005-0000-0000-00000F000000}"/>
    <cellStyle name="Column Header" xfId="11" xr:uid="{00000000-0005-0000-0000-000010000000}"/>
    <cellStyle name="Input" xfId="12" xr:uid="{00000000-0005-0000-0000-000011000000}"/>
    <cellStyle name="Normal" xfId="0" builtinId="0"/>
    <cellStyle name="Resultado2" xfId="13" xr:uid="{00000000-0005-0000-0000-000012000000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EE"/>
      <rgbColor rgb="FFFFFF00"/>
      <rgbColor rgb="FFFF00FF"/>
      <rgbColor rgb="FF00FFFF"/>
      <rgbColor rgb="FF840000"/>
      <rgbColor rgb="FF00763B"/>
      <rgbColor rgb="FF000080"/>
      <rgbColor rgb="FFB85C00"/>
      <rgbColor rgb="FF800080"/>
      <rgbColor rgb="FF008080"/>
      <rgbColor rgb="FFC0C0C0"/>
      <rgbColor rgb="FF808080"/>
      <rgbColor rgb="FF729FCF"/>
      <rgbColor rgb="FF3E3E00"/>
      <rgbColor rgb="FFFFFFCC"/>
      <rgbColor rgb="FFE6E6E6"/>
      <rgbColor rgb="FF650953"/>
      <rgbColor rgb="FFFF8080"/>
      <rgbColor rgb="FF2A6099"/>
      <rgbColor rgb="FFB3B3B3"/>
      <rgbColor rgb="FF2C0000"/>
      <rgbColor rgb="FFFF00FF"/>
      <rgbColor rgb="FFFFFF00"/>
      <rgbColor rgb="FF00FFFF"/>
      <rgbColor rgb="FF800080"/>
      <rgbColor rgb="FFCC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B2B2B2"/>
      <rgbColor rgb="FFFFCC99"/>
      <rgbColor rgb="FF5983B0"/>
      <rgbColor rgb="FF33CCCC"/>
      <rgbColor rgb="FF99CC00"/>
      <rgbColor rgb="FFFFCC00"/>
      <rgbColor rgb="FFFF9900"/>
      <rgbColor rgb="FFFF420E"/>
      <rgbColor rgb="FF666666"/>
      <rgbColor rgb="FF999999"/>
      <rgbColor rgb="FF004586"/>
      <rgbColor rgb="FF00A933"/>
      <rgbColor rgb="FF1C1C1C"/>
      <rgbColor rgb="FF333300"/>
      <rgbColor rgb="FF8D281E"/>
      <rgbColor rgb="FF993366"/>
      <rgbColor rgb="FF443205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u="none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Percentual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'2026'!$E$1</c:f>
              <c:strCache>
                <c:ptCount val="1"/>
                <c:pt idx="0">
                  <c:v>Perc</c:v>
                </c:pt>
              </c:strCache>
            </c:strRef>
          </c:tx>
          <c:spPr>
            <a:ln w="34925" cap="rnd">
              <a:solidFill>
                <a:schemeClr val="lt1"/>
              </a:solidFill>
              <a:round/>
            </a:ln>
            <a:effectLst>
              <a:outerShdw dist="25400" dir="2700000" algn="tl" rotWithShape="0">
                <a:schemeClr val="accent1"/>
              </a:outerShd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accent1">
                          <a:lumMod val="60000"/>
                          <a:lumOff val="4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'2026'!$E$2:$E$10</c:f>
              <c:numCache>
                <c:formatCode>0.00%</c:formatCode>
                <c:ptCount val="9"/>
                <c:pt idx="0">
                  <c:v>-0.12688324291646116</c:v>
                </c:pt>
                <c:pt idx="1">
                  <c:v>0.13100000000000001</c:v>
                </c:pt>
                <c:pt idx="2">
                  <c:v>-5.3333083558910907E-2</c:v>
                </c:pt>
                <c:pt idx="3">
                  <c:v>0.38791081554493367</c:v>
                </c:pt>
                <c:pt idx="4">
                  <c:v>4.5999999999999999E-2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C3B4-4E79-8574-EA32D2778AED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gradFill>
                <a:gsLst>
                  <a:gs pos="0">
                    <a:schemeClr val="lt1"/>
                  </a:gs>
                  <a:gs pos="50000">
                    <a:schemeClr val="lt1">
                      <a:alpha val="0"/>
                    </a:schemeClr>
                  </a:gs>
                </a:gsLst>
                <a:lin ang="5400000" scaled="0"/>
              </a:gradFill>
              <a:round/>
            </a:ln>
            <a:effectLst/>
          </c:spPr>
        </c:dropLines>
        <c:smooth val="0"/>
        <c:axId val="1220842368"/>
        <c:axId val="1220845248"/>
      </c:lineChart>
      <c:catAx>
        <c:axId val="122084236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Ano</a:t>
                </a:r>
                <a:r>
                  <a:rPr lang="pt-BR" baseline="0"/>
                  <a:t>: 2026</a:t>
                </a:r>
                <a:endParaRPr lang="pt-BR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accent1">
                <a:lumMod val="40000"/>
                <a:lumOff val="60000"/>
                <a:alpha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220845248"/>
        <c:crosses val="autoZero"/>
        <c:auto val="1"/>
        <c:lblAlgn val="ctr"/>
        <c:lblOffset val="100"/>
        <c:noMultiLvlLbl val="0"/>
      </c:catAx>
      <c:valAx>
        <c:axId val="1220845248"/>
        <c:scaling>
          <c:orientation val="minMax"/>
        </c:scaling>
        <c:delete val="1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Retorno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0.00%" sourceLinked="1"/>
        <c:majorTickMark val="out"/>
        <c:minorTickMark val="none"/>
        <c:tickLblPos val="nextTo"/>
        <c:crossAx val="12208423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c:style val="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pt-BR" sz="1300" b="0" u="none" strike="noStrike">
                <a:solidFill>
                  <a:srgbClr val="000000"/>
                </a:solidFill>
                <a:uFillTx/>
                <a:latin typeface="Arial"/>
                <a:ea typeface="DejaVu Sans"/>
              </a:rPr>
              <a:t>Índice percentual de acerto em investimentos
Probabilidade de êxito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24702067288204299"/>
          <c:y val="0.262106332543176"/>
          <c:w val="0.50166193757600297"/>
          <c:h val="0.53504910260751803"/>
        </c:manualLayout>
      </c:layout>
      <c:doughnutChart>
        <c:varyColors val="1"/>
        <c:ser>
          <c:idx val="0"/>
          <c:order val="0"/>
          <c:spPr>
            <a:solidFill>
              <a:srgbClr val="004586"/>
            </a:solidFill>
            <a:ln w="0">
              <a:noFill/>
            </a:ln>
          </c:spPr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01-A8D5-4D3A-B8E3-E113BF8D41BF}"/>
              </c:ext>
            </c:extLst>
          </c:dPt>
          <c:dPt>
            <c:idx val="1"/>
            <c:bubble3D val="0"/>
            <c:spPr>
              <a:solidFill>
                <a:srgbClr val="FF420E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3-A8D5-4D3A-B8E3-E113BF8D41BF}"/>
              </c:ext>
            </c:extLst>
          </c:dPt>
          <c:dLbls>
            <c:dLbl>
              <c:idx val="0"/>
              <c:spPr/>
              <c:txPr>
                <a:bodyPr wrap="non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Arial"/>
                      <a:ea typeface="DejaVu Sans"/>
                    </a:defRPr>
                  </a:pPr>
                  <a:endParaRPr lang="pt-B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rect">
                      <a:avLst/>
                    </a:prstGeom>
                  </c15:spPr>
                </c:ext>
                <c:ext xmlns:c16="http://schemas.microsoft.com/office/drawing/2014/chart" uri="{C3380CC4-5D6E-409C-BE32-E72D297353CC}">
                  <c16:uniqueId val="{00000001-A8D5-4D3A-B8E3-E113BF8D41BF}"/>
                </c:ext>
              </c:extLst>
            </c:dLbl>
            <c:dLbl>
              <c:idx val="1"/>
              <c:spPr/>
              <c:txPr>
                <a:bodyPr wrap="non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Arial"/>
                      <a:ea typeface="DejaVu Sans"/>
                    </a:defRPr>
                  </a:pPr>
                  <a:endParaRPr lang="pt-B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rect">
                      <a:avLst/>
                    </a:prstGeom>
                  </c15:spPr>
                </c:ext>
                <c:ext xmlns:c16="http://schemas.microsoft.com/office/drawing/2014/chart" uri="{C3380CC4-5D6E-409C-BE32-E72D297353CC}">
                  <c16:uniqueId val="{00000003-A8D5-4D3A-B8E3-E113BF8D41B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  <a:ea typeface="DejaVu San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1"/>
            <c:separator> 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Medidores!$K$1:$L$1</c:f>
              <c:strCache>
                <c:ptCount val="2"/>
                <c:pt idx="0">
                  <c:v>Acerto</c:v>
                </c:pt>
                <c:pt idx="1">
                  <c:v>Erro</c:v>
                </c:pt>
              </c:strCache>
            </c:strRef>
          </c:cat>
          <c:val>
            <c:numRef>
              <c:f>Medidores!$K$2:$L$2</c:f>
              <c:numCache>
                <c:formatCode>[$-409]0.00%</c:formatCode>
                <c:ptCount val="2"/>
                <c:pt idx="0">
                  <c:v>0.8571428571428571</c:v>
                </c:pt>
                <c:pt idx="1">
                  <c:v>0.1428571428571429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8D5-4D3A-B8E3-E113BF8D41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 w="0">
          <a:solidFill>
            <a:srgbClr val="B3B3B3"/>
          </a:solidFill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Arial"/>
              <a:ea typeface="DejaVu Sans"/>
            </a:defRPr>
          </a:pPr>
          <a:endParaRPr lang="pt-BR"/>
        </a:p>
      </c:txPr>
    </c:legend>
    <c:plotVisOnly val="1"/>
    <c:dispBlanksAs val="zero"/>
    <c:showDLblsOverMax val="1"/>
  </c:chart>
  <c:spPr>
    <a:gradFill>
      <a:gsLst>
        <a:gs pos="0">
          <a:srgbClr val="729FCF"/>
        </a:gs>
        <a:gs pos="100000">
          <a:srgbClr val="000000"/>
        </a:gs>
      </a:gsLst>
      <a:path path="circle">
        <a:fillToRect l="50000" t="50000" r="50000" b="50000"/>
      </a:path>
    </a:gradFill>
    <a:ln w="0">
      <a:noFill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c:style val="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pt-BR" sz="1300" b="0" u="none" strike="noStrike">
                <a:solidFill>
                  <a:srgbClr val="000000"/>
                </a:solidFill>
                <a:uFillTx/>
                <a:latin typeface="Arial"/>
                <a:ea typeface="DejaVu Sans"/>
              </a:rPr>
              <a:t>Leviatã capital - Gestão de dados</a:t>
            </a:r>
          </a:p>
          <a:p>
            <a:pPr>
              <a:defRPr sz="1300" b="0" u="none" strike="noStrike">
                <a:uFillTx/>
                <a:latin typeface="Arial"/>
              </a:defRPr>
            </a:pPr>
            <a:r>
              <a:rPr lang="pt-BR" sz="1300" b="0" u="none" strike="noStrike">
                <a:solidFill>
                  <a:srgbClr val="000000"/>
                </a:solidFill>
                <a:uFillTx/>
                <a:latin typeface="Arial"/>
                <a:ea typeface="DejaVu Sans"/>
              </a:rPr>
              <a:t> Antigo x Atual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004586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  <a:ea typeface="DejaVu San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</c15:spPr>
                <c15:showLeaderLines val="1"/>
              </c:ext>
            </c:extLst>
          </c:dLbls>
          <c:trendline>
            <c:spPr>
              <a:ln w="0">
                <a:solidFill>
                  <a:srgbClr val="004586"/>
                </a:solidFill>
              </a:ln>
            </c:spPr>
            <c:trendlineType val="linear"/>
            <c:dispRSqr val="0"/>
            <c:dispEq val="0"/>
          </c:trendline>
          <c:cat>
            <c:strRef>
              <c:f>Medidores!$A$1:$B$1</c:f>
              <c:strCache>
                <c:ptCount val="2"/>
                <c:pt idx="0">
                  <c:v>Salário antigo</c:v>
                </c:pt>
                <c:pt idx="1">
                  <c:v>Rendimento atual</c:v>
                </c:pt>
              </c:strCache>
            </c:strRef>
          </c:cat>
          <c:val>
            <c:numRef>
              <c:f>Medidores!$A$2:$B$2</c:f>
              <c:numCache>
                <c:formatCode>[$-409]#,##0.00</c:formatCode>
                <c:ptCount val="2"/>
                <c:pt idx="0" formatCode="[$-409]0.00">
                  <c:v>3100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B11-45F3-B805-EF0F4EF67D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29118588"/>
        <c:axId val="12577518"/>
      </c:barChart>
      <c:catAx>
        <c:axId val="29118588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pt-BR" sz="900" b="0" u="none" strike="noStrike">
                    <a:solidFill>
                      <a:srgbClr val="000000"/>
                    </a:solidFill>
                    <a:uFillTx/>
                    <a:latin typeface="Arial"/>
                    <a:ea typeface="DejaVu Sans"/>
                  </a:rPr>
                  <a:t>Índice de rendimentos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Arial"/>
                <a:ea typeface="DejaVu Sans"/>
              </a:defRPr>
            </a:pPr>
            <a:endParaRPr lang="pt-BR"/>
          </a:p>
        </c:txPr>
        <c:crossAx val="12577518"/>
        <c:crosses val="autoZero"/>
        <c:auto val="1"/>
        <c:lblAlgn val="ctr"/>
        <c:lblOffset val="100"/>
        <c:noMultiLvlLbl val="0"/>
      </c:catAx>
      <c:valAx>
        <c:axId val="12577518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pt-BR" sz="900" b="0" u="none" strike="noStrike">
                    <a:solidFill>
                      <a:srgbClr val="000000"/>
                    </a:solidFill>
                    <a:uFillTx/>
                    <a:latin typeface="Arial"/>
                    <a:ea typeface="DejaVu Sans"/>
                  </a:rPr>
                  <a:t>Distribuição mensal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[$-409]0.00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Arial"/>
                <a:ea typeface="DejaVu Sans"/>
              </a:defRPr>
            </a:pPr>
            <a:endParaRPr lang="pt-BR"/>
          </a:p>
        </c:txPr>
        <c:crossAx val="29118588"/>
        <c:crosses val="autoZero"/>
        <c:crossBetween val="between"/>
      </c:valAx>
      <c:spPr>
        <a:noFill/>
        <a:ln w="0">
          <a:solidFill>
            <a:srgbClr val="B3B3B3"/>
          </a:solidFill>
        </a:ln>
      </c:spPr>
    </c:plotArea>
    <c:plotVisOnly val="1"/>
    <c:dispBlanksAs val="gap"/>
    <c:showDLblsOverMax val="1"/>
  </c:chart>
  <c:spPr>
    <a:gradFill>
      <a:gsLst>
        <a:gs pos="0">
          <a:srgbClr val="729FCF"/>
        </a:gs>
        <a:gs pos="100000">
          <a:srgbClr val="000000"/>
        </a:gs>
      </a:gsLst>
      <a:path path="circle">
        <a:fillToRect l="50000" t="50000" r="50000" b="50000"/>
      </a:path>
    </a:gradFill>
    <a:ln w="0">
      <a:noFill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c:style val="2"/>
  <c:chart>
    <c:autoTitleDeleted val="1"/>
    <c:plotArea>
      <c:layout/>
      <c:lineChart>
        <c:grouping val="stacked"/>
        <c:varyColors val="0"/>
        <c:ser>
          <c:idx val="0"/>
          <c:order val="0"/>
          <c:spPr>
            <a:ln w="28800">
              <a:solidFill>
                <a:srgbClr val="004586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  <a:ea typeface="DejaVu Sans"/>
                  </a:defRPr>
                </a:pPr>
                <a:endParaRPr lang="pt-BR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2880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5E3F-4965-9CD7-F47828AEE4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74857"/>
        <c:axId val="98479092"/>
      </c:lineChart>
      <c:catAx>
        <c:axId val="74857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Arial"/>
                <a:ea typeface="DejaVu Sans"/>
              </a:defRPr>
            </a:pPr>
            <a:endParaRPr lang="pt-BR"/>
          </a:p>
        </c:txPr>
        <c:crossAx val="98479092"/>
        <c:crosses val="autoZero"/>
        <c:auto val="1"/>
        <c:lblAlgn val="ctr"/>
        <c:lblOffset val="100"/>
        <c:noMultiLvlLbl val="0"/>
      </c:catAx>
      <c:valAx>
        <c:axId val="98479092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[$-409]0.00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Arial"/>
                <a:ea typeface="DejaVu Sans"/>
              </a:defRPr>
            </a:pPr>
            <a:endParaRPr lang="pt-BR"/>
          </a:p>
        </c:txPr>
        <c:crossAx val="74857"/>
        <c:crosses val="autoZero"/>
        <c:crossBetween val="midCat"/>
      </c:valAx>
      <c:spPr>
        <a:noFill/>
        <a:ln w="0">
          <a:solidFill>
            <a:srgbClr val="B3B3B3"/>
          </a:solidFill>
        </a:ln>
      </c:spPr>
    </c:plotArea>
    <c:legend>
      <c:legendPos val="r"/>
      <c:layout>
        <c:manualLayout>
          <c:xMode val="edge"/>
          <c:yMode val="edge"/>
          <c:x val="0.83247904480492096"/>
          <c:y val="0.35881764640515601"/>
          <c:w val="0.154797081348369"/>
          <c:h val="0.17435270585620599"/>
        </c:manualLayout>
      </c:layout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Arial"/>
              <a:ea typeface="DejaVu Sans"/>
            </a:defRPr>
          </a:pPr>
          <a:endParaRPr lang="pt-BR"/>
        </a:p>
      </c:txPr>
    </c:legend>
    <c:plotVisOnly val="1"/>
    <c:dispBlanksAs val="gap"/>
    <c:showDLblsOverMax val="1"/>
  </c:chart>
  <c:spPr>
    <a:solidFill>
      <a:srgbClr val="1C1C1C"/>
    </a:solidFill>
    <a:ln w="0">
      <a:noFill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lt1">
                    <a:lumMod val="85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pt-BR"/>
              <a:t>Média móvel distribuída
</a:t>
            </a:r>
          </a:p>
          <a:p>
            <a:pPr>
              <a:defRPr/>
            </a:pPr>
            <a:r>
              <a:rPr lang="pt-BR"/>
              <a:t>Dispersão temporal 2023-2025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lt1">
                  <a:lumMod val="85000"/>
                </a:schemeClr>
              </a:solidFill>
              <a:latin typeface="+mj-lt"/>
              <a:ea typeface="+mj-ea"/>
              <a:cs typeface="+mj-cs"/>
            </a:defRPr>
          </a:pPr>
          <a:endParaRPr lang="pt-BR"/>
        </a:p>
      </c:txPr>
    </c:title>
    <c:autoTitleDeleted val="0"/>
    <c:plotArea>
      <c:layout/>
      <c:areaChart>
        <c:grouping val="standard"/>
        <c:varyColors val="1"/>
        <c:ser>
          <c:idx val="0"/>
          <c:order val="0"/>
          <c:spPr>
            <a:gradFill>
              <a:gsLst>
                <a:gs pos="100000">
                  <a:schemeClr val="accent1"/>
                </a:gs>
                <a:gs pos="0">
                  <a:schemeClr val="accent1">
                    <a:lumMod val="75000"/>
                  </a:schemeClr>
                </a:gs>
              </a:gsLst>
              <a:lin ang="0" scaled="1"/>
            </a:gradFill>
            <a:ln>
              <a:noFill/>
            </a:ln>
            <a:effectLst>
              <a:innerShdw dist="12700" dir="16200000">
                <a:schemeClr val="lt1">
                  <a:alpha val="75000"/>
                </a:schemeClr>
              </a:innerShdw>
            </a:effectLst>
          </c:spP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0-F5F0-4770-8D93-00C62FDC8811}"/>
            </c:ext>
          </c:extLst>
        </c:ser>
        <c:ser>
          <c:idx val="1"/>
          <c:order val="1"/>
          <c:spPr>
            <a:gradFill>
              <a:gsLst>
                <a:gs pos="100000">
                  <a:schemeClr val="accent2"/>
                </a:gs>
                <a:gs pos="0">
                  <a:schemeClr val="accent2">
                    <a:lumMod val="75000"/>
                  </a:schemeClr>
                </a:gs>
              </a:gsLst>
              <a:lin ang="0" scaled="1"/>
            </a:gradFill>
            <a:ln>
              <a:noFill/>
            </a:ln>
            <a:effectLst>
              <a:innerShdw dist="12700" dir="16200000">
                <a:schemeClr val="lt1">
                  <a:alpha val="75000"/>
                </a:schemeClr>
              </a:innerShdw>
            </a:effectLst>
          </c:spP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1-F5F0-4770-8D93-00C62FDC8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lt1">
                  <a:alpha val="40000"/>
                </a:schemeClr>
              </a:solidFill>
              <a:round/>
            </a:ln>
            <a:effectLst/>
          </c:spPr>
        </c:dropLines>
        <c:axId val="38862321"/>
        <c:axId val="24916826"/>
      </c:areaChart>
      <c:catAx>
        <c:axId val="3886232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Distribuição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0"/>
        <c:majorTickMark val="none"/>
        <c:minorTickMark val="none"/>
        <c:tickLblPos val="nextTo"/>
        <c:spPr>
          <a:noFill/>
          <a:ln w="9575" cap="flat" cmpd="sng" algn="ctr">
            <a:solidFill>
              <a:schemeClr val="lt1">
                <a:lumMod val="75000"/>
              </a:schemeClr>
            </a:solidFill>
            <a:round/>
            <a:headEnd type="none" w="sm" len="sm"/>
            <a:tailEnd type="none" w="sm" len="sm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cap="all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4916826"/>
        <c:crosses val="autoZero"/>
        <c:auto val="1"/>
        <c:lblAlgn val="ctr"/>
        <c:lblOffset val="100"/>
        <c:noMultiLvlLbl val="0"/>
      </c:catAx>
      <c:valAx>
        <c:axId val="24916826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prstDash val="sysDot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Investido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[$-409]General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886232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zero"/>
    <c:showDLblsOverMax val="1"/>
  </c:chart>
  <c:spPr>
    <a:solidFill>
      <a:schemeClr val="dk1">
        <a:lumMod val="75000"/>
        <a:lumOff val="25000"/>
      </a:schemeClr>
    </a:solidFill>
    <a:ln w="9525" cap="flat" cmpd="sng" algn="ctr">
      <a:solidFill>
        <a:schemeClr val="lt1">
          <a:lumMod val="7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5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Otimização de recursos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5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radarChart>
        <c:radarStyle val="filled"/>
        <c:varyColors val="0"/>
        <c:ser>
          <c:idx val="0"/>
          <c:order val="0"/>
          <c:tx>
            <c:strRef>
              <c:f>'Meu capital'!$A$7</c:f>
              <c:strCache>
                <c:ptCount val="1"/>
              </c:strCache>
            </c:strRef>
          </c:tx>
          <c:spPr>
            <a:solidFill>
              <a:schemeClr val="accent1">
                <a:alpha val="69804"/>
              </a:schemeClr>
            </a:solidFill>
            <a:ln w="9525" cap="flat" cmpd="sng" algn="ctr">
              <a:solidFill>
                <a:schemeClr val="accent1">
                  <a:alpha val="69804"/>
                </a:schemeClr>
              </a:solidFill>
              <a:miter lim="800000"/>
            </a:ln>
            <a:effectLst>
              <a:glow rad="76200">
                <a:schemeClr val="accent1">
                  <a:satMod val="175000"/>
                  <a:alpha val="34000"/>
                </a:schemeClr>
              </a:glow>
            </a:effectLst>
          </c:spPr>
          <c:val>
            <c:numRef>
              <c:f>'Meu capital'!$A$8:$A$16</c:f>
              <c:numCache>
                <c:formatCode>[$-409]General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3A2-462B-8B43-6FCFBA887D2C}"/>
            </c:ext>
          </c:extLst>
        </c:ser>
        <c:ser>
          <c:idx val="1"/>
          <c:order val="1"/>
          <c:tx>
            <c:strRef>
              <c:f>'Meu capital'!$B$7</c:f>
              <c:strCache>
                <c:ptCount val="1"/>
                <c:pt idx="0">
                  <c:v>Objetivos</c:v>
                </c:pt>
              </c:strCache>
            </c:strRef>
          </c:tx>
          <c:spPr>
            <a:solidFill>
              <a:schemeClr val="accent2">
                <a:alpha val="69804"/>
              </a:schemeClr>
            </a:solidFill>
            <a:ln w="9525" cap="flat" cmpd="sng" algn="ctr">
              <a:solidFill>
                <a:schemeClr val="accent2">
                  <a:alpha val="69804"/>
                </a:schemeClr>
              </a:solidFill>
              <a:miter lim="800000"/>
            </a:ln>
            <a:effectLst>
              <a:innerShdw blurRad="63500" dist="50800" dir="13500000">
                <a:prstClr val="black">
                  <a:alpha val="50000"/>
                </a:prstClr>
              </a:innerShdw>
            </a:effectLst>
          </c:spP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'Meu capital'!$B$8:$B$16</c:f>
              <c:numCache>
                <c:formatCode>[$-409]General</c:formatCode>
                <c:ptCount val="9"/>
                <c:pt idx="0">
                  <c:v>5000</c:v>
                </c:pt>
                <c:pt idx="1">
                  <c:v>10000</c:v>
                </c:pt>
                <c:pt idx="2">
                  <c:v>15000</c:v>
                </c:pt>
                <c:pt idx="3">
                  <c:v>20000</c:v>
                </c:pt>
                <c:pt idx="4">
                  <c:v>30000</c:v>
                </c:pt>
                <c:pt idx="5">
                  <c:v>35000</c:v>
                </c:pt>
                <c:pt idx="6">
                  <c:v>40000</c:v>
                </c:pt>
                <c:pt idx="7">
                  <c:v>45000</c:v>
                </c:pt>
                <c:pt idx="8">
                  <c:v>50000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3A2-462B-8B43-6FCFBA887D2C}"/>
            </c:ext>
          </c:extLst>
        </c:ser>
        <c:ser>
          <c:idx val="2"/>
          <c:order val="2"/>
          <c:tx>
            <c:strRef>
              <c:f>'Meu capital'!$C$7</c:f>
              <c:strCache>
                <c:ptCount val="1"/>
                <c:pt idx="0">
                  <c:v>índice de força</c:v>
                </c:pt>
              </c:strCache>
            </c:strRef>
          </c:tx>
          <c:spPr>
            <a:solidFill>
              <a:schemeClr val="accent3">
                <a:alpha val="69804"/>
              </a:schemeClr>
            </a:solidFill>
            <a:ln w="9525" cap="flat" cmpd="sng" algn="ctr">
              <a:solidFill>
                <a:schemeClr val="accent3">
                  <a:alpha val="69804"/>
                </a:schemeClr>
              </a:solidFill>
              <a:miter lim="800000"/>
            </a:ln>
            <a:effectLst>
              <a:glow rad="76200">
                <a:schemeClr val="accent3">
                  <a:satMod val="175000"/>
                  <a:alpha val="34000"/>
                </a:schemeClr>
              </a:glow>
            </a:effectLst>
          </c:spPr>
          <c:val>
            <c:numRef>
              <c:f>'Meu capital'!$C$8:$C$16</c:f>
              <c:numCache>
                <c:formatCode>[$-409]#,##0.00</c:formatCode>
                <c:ptCount val="9"/>
                <c:pt idx="0">
                  <c:v>2321</c:v>
                </c:pt>
                <c:pt idx="1">
                  <c:v>2321</c:v>
                </c:pt>
                <c:pt idx="2">
                  <c:v>2321</c:v>
                </c:pt>
                <c:pt idx="3">
                  <c:v>2321</c:v>
                </c:pt>
                <c:pt idx="4">
                  <c:v>2321</c:v>
                </c:pt>
                <c:pt idx="5">
                  <c:v>2321</c:v>
                </c:pt>
                <c:pt idx="6">
                  <c:v>2321</c:v>
                </c:pt>
                <c:pt idx="7">
                  <c:v>2321</c:v>
                </c:pt>
                <c:pt idx="8">
                  <c:v>2321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3A2-462B-8B43-6FCFBA887D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840543"/>
        <c:axId val="12833823"/>
      </c:radarChart>
      <c:catAx>
        <c:axId val="1284054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alpha val="20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2833823"/>
        <c:crosses val="autoZero"/>
        <c:auto val="1"/>
        <c:lblAlgn val="ctr"/>
        <c:lblOffset val="100"/>
        <c:noMultiLvlLbl val="0"/>
      </c:catAx>
      <c:valAx>
        <c:axId val="12833823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lt1">
                  <a:alpha val="20000"/>
                </a:schemeClr>
              </a:solidFill>
              <a:round/>
            </a:ln>
            <a:effectLst/>
          </c:spPr>
        </c:majorGridlines>
        <c:numFmt formatCode="[$-409]General" sourceLinked="1"/>
        <c:majorTickMark val="none"/>
        <c:minorTickMark val="none"/>
        <c:tickLblPos val="nextTo"/>
        <c:crossAx val="128405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85">
  <cs:axisTitle>
    <cs:lnRef idx="0"/>
    <cs:fillRef idx="0"/>
    <cs:effectRef idx="0"/>
    <cs:fontRef idx="minor">
      <a:schemeClr val="lt1"/>
    </cs:fontRef>
    <cs:defRPr sz="900" kern="1200"/>
  </cs:axisTitle>
  <cs:categoryAxis>
    <cs:lnRef idx="0">
      <cs:styleClr val="0"/>
    </cs:lnRef>
    <cs:fillRef idx="0"/>
    <cs:effectRef idx="0"/>
    <cs:fontRef idx="minor">
      <a:schemeClr val="lt1"/>
    </cs:fontRef>
    <cs:spPr>
      <a:ln w="9525" cap="flat" cmpd="sng" algn="ctr">
        <a:solidFill>
          <a:schemeClr val="phClr">
            <a:lumMod val="40000"/>
            <a:lumOff val="60000"/>
            <a:alpha val="25000"/>
          </a:schemeClr>
        </a:solidFill>
        <a:round/>
      </a:ln>
    </cs:spPr>
    <cs:defRPr sz="900" kern="1200"/>
  </cs:categoryAxis>
  <cs:chartArea>
    <cs:lnRef idx="0">
      <cs:styleClr val="0"/>
    </cs:lnRef>
    <cs:fillRef idx="0">
      <cs:styleClr val="0"/>
    </cs:fillRef>
    <cs:effectRef idx="0"/>
    <cs:fontRef idx="minor">
      <a:schemeClr val="lt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/>
    <cs:fontRef idx="minor">
      <a:schemeClr val="tx1"/>
    </cs:fontRef>
    <cs:spPr>
      <a:gradFill>
        <a:gsLst>
          <a:gs pos="0">
            <a:schemeClr val="lt1">
              <a:alpha val="50000"/>
            </a:schemeClr>
          </a:gs>
          <a:gs pos="100000">
            <a:schemeClr val="lt1">
              <a:alpha val="0"/>
            </a:schemeClr>
          </a:gs>
        </a:gsLst>
        <a:lin ang="5400000" scaled="0"/>
      </a:gradFill>
      <a:ln>
        <a:solidFill>
          <a:schemeClr val="phClr"/>
        </a:solidFill>
      </a:ln>
      <a:effectLst>
        <a:innerShdw dist="38100" dir="16200000">
          <a:schemeClr val="lt1"/>
        </a:innerShdw>
      </a:effectLst>
    </cs:spPr>
  </cs:dataPoint>
  <cs:dataPoint3D>
    <cs:lnRef idx="0">
      <cs:styleClr val="auto"/>
    </cs:lnRef>
    <cs:fillRef idx="0"/>
    <cs:effectRef idx="0"/>
    <cs:fontRef idx="minor">
      <a:schemeClr val="lt1"/>
    </cs:fontRef>
    <cs:spPr>
      <a:gradFill>
        <a:gsLst>
          <a:gs pos="0">
            <a:schemeClr val="lt1">
              <a:alpha val="50000"/>
            </a:schemeClr>
          </a:gs>
          <a:gs pos="100000">
            <a:schemeClr val="lt1">
              <a:alpha val="0"/>
            </a:schemeClr>
          </a:gs>
        </a:gsLst>
        <a:lin ang="5400000" scaled="0"/>
      </a:gradFill>
      <a:ln>
        <a:solidFill>
          <a:schemeClr val="phClr"/>
        </a:solidFill>
      </a:ln>
      <a:effectLst>
        <a:innerShdw dist="38100" dir="16200000">
          <a:schemeClr val="lt1"/>
        </a:innerShdw>
      </a:effectLst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lt1"/>
    </cs:fontRef>
    <cs:spPr>
      <a:ln w="34925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lt1"/>
    </cs:fontRef>
    <cs:spPr>
      <a:solidFill>
        <a:schemeClr val="phClr"/>
      </a:solidFill>
      <a:ln w="22225">
        <a:solidFill>
          <a:schemeClr val="lt1"/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40000"/>
            <a:lumOff val="60000"/>
            <a:alpha val="25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lt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 cap="flat" cmpd="sng" algn="ctr">
        <a:gradFill>
          <a:gsLst>
            <a:gs pos="0">
              <a:schemeClr val="lt1"/>
            </a:gs>
            <a:gs pos="50000">
              <a:schemeClr val="lt1">
                <a:alpha val="0"/>
              </a:schemeClr>
            </a:gs>
          </a:gsLst>
          <a:lin ang="5400000" scaled="0"/>
        </a:gradFill>
        <a:round/>
      </a:ln>
    </cs:spPr>
  </cs:dropLine>
  <cs:errorBar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lt1"/>
    </cs:fontRef>
  </cs:floor>
  <cs:gridlineMajor>
    <cs:lnRef idx="0">
      <cs:styleClr val="0"/>
    </cs:lnRef>
    <cs:fillRef idx="0"/>
    <cs:effectRef idx="0"/>
    <cs:fontRef idx="minor">
      <a:schemeClr val="lt1"/>
    </cs:fontRef>
    <cs:spPr>
      <a:ln>
        <a:solidFill>
          <a:schemeClr val="phClr">
            <a:lumMod val="40000"/>
            <a:lumOff val="60000"/>
            <a:alpha val="25000"/>
          </a:schemeClr>
        </a:solidFill>
      </a:ln>
    </cs:spPr>
  </cs:gridlineMajor>
  <cs:gridlineMinor>
    <cs:lnRef idx="0">
      <cs:styleClr val="0"/>
    </cs:lnRef>
    <cs:fillRef idx="0"/>
    <cs:effectRef idx="0"/>
    <cs:fontRef idx="minor">
      <a:schemeClr val="lt1"/>
    </cs:fontRef>
    <cs:spPr>
      <a:ln>
        <a:solidFill>
          <a:schemeClr val="phClr">
            <a:lumMod val="40000"/>
            <a:lumOff val="60000"/>
            <a:alpha val="25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</cs:hiLoLine>
  <cs:leaderLin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>
      <cs:styleClr val="0"/>
    </cs:lnRef>
    <cs:fillRef idx="0"/>
    <cs:effectRef idx="0"/>
    <cs:fontRef idx="minor">
      <a:schemeClr val="lt1"/>
    </cs:fontRef>
    <cs:spPr>
      <a:ln w="9525" cap="flat" cmpd="sng" algn="ctr">
        <a:solidFill>
          <a:schemeClr val="phClr">
            <a:lumMod val="40000"/>
            <a:lumOff val="60000"/>
            <a:alpha val="25000"/>
          </a:schemeClr>
        </a:solidFill>
        <a:round/>
      </a:ln>
    </cs:spPr>
    <cs:defRPr sz="900" kern="1200"/>
  </cs:seriesAxis>
  <cs:seriesLin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lt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lt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  <cs:bodyPr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77">
  <cs:axisTitle>
    <cs:lnRef idx="0"/>
    <cs:fillRef idx="0"/>
    <cs:effectRef idx="0"/>
    <cs:fontRef idx="minor">
      <a:schemeClr val="lt1">
        <a:lumMod val="85000"/>
      </a:schemeClr>
    </cs:fontRef>
    <cs:defRPr sz="900" kern="1200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75" cap="flat" cmpd="sng" algn="ctr">
        <a:solidFill>
          <a:schemeClr val="lt1">
            <a:lumMod val="75000"/>
          </a:schemeClr>
        </a:solidFill>
        <a:round/>
        <a:headEnd type="none" w="sm" len="sm"/>
        <a:tailEnd type="none" w="sm" len="sm"/>
      </a:ln>
    </cs:spPr>
    <cs:defRPr sz="900" b="1" kern="1200" cap="all" baseline="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lt1">
            <a:lumMod val="7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85000"/>
      </a:schemeClr>
    </cs:fontRef>
    <cs:spPr>
      <a:solidFill>
        <a:schemeClr val="dk1">
          <a:lumMod val="65000"/>
          <a:lumOff val="35000"/>
        </a:schemeClr>
      </a:solidFill>
      <a:ln>
        <a:solidFill>
          <a:schemeClr val="lt1">
            <a:lumMod val="50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gradFill>
        <a:gsLst>
          <a:gs pos="100000">
            <a:schemeClr val="phClr"/>
          </a:gs>
          <a:gs pos="0">
            <a:schemeClr val="phClr">
              <a:lumMod val="75000"/>
            </a:schemeClr>
          </a:gs>
        </a:gsLst>
        <a:lin ang="0" scaled="1"/>
      </a:gradFill>
      <a:effectLst>
        <a:innerShdw dist="12700" dir="16200000">
          <a:schemeClr val="lt1">
            <a:alpha val="75000"/>
          </a:schemeClr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>
        <a:gsLst>
          <a:gs pos="100000">
            <a:schemeClr val="phClr"/>
          </a:gs>
          <a:gs pos="0">
            <a:schemeClr val="phClr">
              <a:lumMod val="75000"/>
            </a:schemeClr>
          </a:gs>
        </a:gsLst>
        <a:lin ang="0" scaled="1"/>
      </a:gradFill>
      <a:effectLst>
        <a:innerShdw dist="12700" dir="16200000">
          <a:schemeClr val="lt1">
            <a:alpha val="75000"/>
          </a:schemeClr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540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50000"/>
      </a:schemeClr>
    </cs:fontRef>
    <cs:spPr>
      <a:ln w="9525">
        <a:solidFill>
          <a:schemeClr val="lt1">
            <a:lumMod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4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4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prstDash val="sysDot"/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6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bg1">
        <a:lumMod val="85000"/>
      </a:schemeClr>
    </cs:fontRef>
    <cs:spPr>
      <a:ln w="19050" cap="flat" cmpd="sng" algn="ctr">
        <a:solidFill>
          <a:schemeClr val="bg1">
            <a:lumMod val="85000"/>
          </a:schemeClr>
        </a:solidFill>
        <a:round/>
        <a:headEnd type="none" w="sm" len="sm"/>
        <a:tailEnd type="none" w="sm" len="sm"/>
      </a:ln>
    </cs:spPr>
    <cs:defRPr sz="900" b="1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ajor">
      <a:schemeClr val="lt1">
        <a:lumMod val="8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20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75000"/>
      </a:schemeClr>
    </cs:fontRef>
    <cs:spPr>
      <a:solidFill>
        <a:schemeClr val="dk1">
          <a:lumMod val="75000"/>
          <a:lumOff val="25000"/>
        </a:schemeClr>
      </a:solidFill>
      <a:ln>
        <a:solidFill>
          <a:schemeClr val="lt1">
            <a:lumMod val="75000"/>
          </a:schemeClr>
        </a:solidFill>
      </a:ln>
      <a:effectLst>
        <a:glow rad="63500">
          <a:schemeClr val="lt1">
            <a:lumMod val="75000"/>
            <a:alpha val="15000"/>
          </a:schemeClr>
        </a:glow>
      </a:effectLst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alpha val="69804"/>
        </a:schemeClr>
      </a:solidFill>
      <a:ln w="9525" cap="flat" cmpd="sng" algn="ctr">
        <a:solidFill>
          <a:schemeClr val="phClr">
            <a:alpha val="69804"/>
          </a:schemeClr>
        </a:solidFill>
        <a:miter lim="800000"/>
      </a:ln>
      <a:effectLst>
        <a:glow rad="76200">
          <a:schemeClr val="phClr">
            <a:satMod val="175000"/>
            <a:alpha val="34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alpha val="69804"/>
        </a:schemeClr>
      </a:solidFill>
      <a:ln w="9525" cap="flat" cmpd="sng" algn="ctr">
        <a:solidFill>
          <a:schemeClr val="phClr">
            <a:alpha val="69804"/>
          </a:schemeClr>
        </a:solidFill>
        <a:miter lim="800000"/>
      </a:ln>
      <a:effectLst>
        <a:glow rad="76200">
          <a:schemeClr val="phClr">
            <a:satMod val="175000"/>
            <a:alpha val="34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8575" cap="rnd">
        <a:solidFill>
          <a:schemeClr val="phClr"/>
        </a:solidFill>
      </a:ln>
      <a:effectLst>
        <a:glow rad="76200">
          <a:schemeClr val="phClr">
            <a:satMod val="175000"/>
            <a:alpha val="3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0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0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0" kern="1200" cap="none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Relationship Id="rId4" Type="http://schemas.openxmlformats.org/officeDocument/2006/relationships/chart" Target="../charts/chart5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53340</xdr:colOff>
      <xdr:row>0</xdr:row>
      <xdr:rowOff>0</xdr:rowOff>
    </xdr:from>
    <xdr:to>
      <xdr:col>16</xdr:col>
      <xdr:colOff>358140</xdr:colOff>
      <xdr:row>16</xdr:row>
      <xdr:rowOff>0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374191F6-A294-EE5E-1FDA-5465EAFA5BD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457200</xdr:colOff>
      <xdr:row>2</xdr:row>
      <xdr:rowOff>74280</xdr:rowOff>
    </xdr:from>
    <xdr:to>
      <xdr:col>11</xdr:col>
      <xdr:colOff>725400</xdr:colOff>
      <xdr:row>22</xdr:row>
      <xdr:rowOff>12000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0</xdr:colOff>
      <xdr:row>2</xdr:row>
      <xdr:rowOff>84600</xdr:rowOff>
    </xdr:from>
    <xdr:to>
      <xdr:col>4</xdr:col>
      <xdr:colOff>0</xdr:colOff>
      <xdr:row>22</xdr:row>
      <xdr:rowOff>22320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5</xdr:col>
      <xdr:colOff>805680</xdr:colOff>
      <xdr:row>22</xdr:row>
      <xdr:rowOff>144360</xdr:rowOff>
    </xdr:from>
    <xdr:to>
      <xdr:col>13</xdr:col>
      <xdr:colOff>960</xdr:colOff>
      <xdr:row>42</xdr:row>
      <xdr:rowOff>129600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0</xdr:col>
      <xdr:colOff>0</xdr:colOff>
      <xdr:row>23</xdr:row>
      <xdr:rowOff>360</xdr:rowOff>
    </xdr:from>
    <xdr:to>
      <xdr:col>6</xdr:col>
      <xdr:colOff>3060</xdr:colOff>
      <xdr:row>42</xdr:row>
      <xdr:rowOff>148320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15240</xdr:colOff>
      <xdr:row>5</xdr:row>
      <xdr:rowOff>7620</xdr:rowOff>
    </xdr:from>
    <xdr:to>
      <xdr:col>10</xdr:col>
      <xdr:colOff>899160</xdr:colOff>
      <xdr:row>26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235FCD9F-D3AC-8407-7ABD-65795D14098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Times New Roman-fonte Arial">
      <a:majorFont>
        <a:latin typeface="Times New Roman" panose="02020603050405020304"/>
        <a:ea typeface=""/>
        <a:cs typeface=""/>
        <a:font script="Jpan" typeface="ＭＳ Ｐ明朝"/>
        <a:font script="Hang" typeface="바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 panose="020B0604020202020204"/>
        <a:ea typeface=""/>
        <a:cs typeface=""/>
        <a:font script="Jpan" typeface="ＭＳ Ｐゴシック"/>
        <a:font script="Hang" typeface="돋움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FB161B-DAC7-4344-9866-F47C018C3AE8}">
  <dimension ref="A1:I18"/>
  <sheetViews>
    <sheetView tabSelected="1" workbookViewId="0">
      <selection activeCell="A7" sqref="A7"/>
    </sheetView>
  </sheetViews>
  <sheetFormatPr defaultRowHeight="13.2"/>
  <sheetData>
    <row r="1" spans="1:8">
      <c r="A1" t="s">
        <v>0</v>
      </c>
      <c r="B1" t="s">
        <v>123</v>
      </c>
      <c r="C1" t="s">
        <v>124</v>
      </c>
      <c r="D1" t="s">
        <v>125</v>
      </c>
      <c r="E1" t="s">
        <v>126</v>
      </c>
      <c r="F1" t="s">
        <v>127</v>
      </c>
      <c r="G1" t="s">
        <v>2</v>
      </c>
    </row>
    <row r="2" spans="1:8" ht="15.6">
      <c r="A2" s="67" t="s">
        <v>121</v>
      </c>
      <c r="B2" s="64">
        <v>1257.1400000000001</v>
      </c>
      <c r="C2">
        <v>1097.6300000000001</v>
      </c>
      <c r="D2" s="68">
        <f t="shared" ref="D2:D5" si="0">(C2-B2)</f>
        <v>-159.51</v>
      </c>
      <c r="E2" s="69">
        <f t="shared" ref="E2:E5" si="1">(D2/B2)</f>
        <v>-0.12688324291646116</v>
      </c>
      <c r="F2" t="s">
        <v>5</v>
      </c>
      <c r="G2">
        <v>2026</v>
      </c>
    </row>
    <row r="3" spans="1:8" ht="15.6">
      <c r="A3" s="67" t="s">
        <v>122</v>
      </c>
      <c r="B3" s="70">
        <v>1000</v>
      </c>
      <c r="C3">
        <v>1131</v>
      </c>
      <c r="D3" s="68">
        <f t="shared" si="0"/>
        <v>131</v>
      </c>
      <c r="E3" s="69">
        <f t="shared" si="1"/>
        <v>0.13100000000000001</v>
      </c>
      <c r="F3" t="s">
        <v>5</v>
      </c>
      <c r="G3">
        <v>2026</v>
      </c>
      <c r="H3" s="48"/>
    </row>
    <row r="4" spans="1:8" ht="15.6">
      <c r="A4" t="s">
        <v>129</v>
      </c>
      <c r="B4">
        <v>1067.6300000000001</v>
      </c>
      <c r="C4" s="48">
        <v>1010.69</v>
      </c>
      <c r="D4" s="68">
        <f t="shared" si="0"/>
        <v>-56.940000000000055</v>
      </c>
      <c r="E4" s="69">
        <f t="shared" si="1"/>
        <v>-5.3333083558910907E-2</v>
      </c>
      <c r="F4" t="s">
        <v>3</v>
      </c>
      <c r="G4">
        <v>2026</v>
      </c>
    </row>
    <row r="5" spans="1:8" ht="15.6">
      <c r="A5" t="s">
        <v>128</v>
      </c>
      <c r="B5">
        <v>1010.49</v>
      </c>
      <c r="C5">
        <v>1402.47</v>
      </c>
      <c r="D5" s="68">
        <f t="shared" si="0"/>
        <v>391.98</v>
      </c>
      <c r="E5" s="69">
        <f t="shared" si="1"/>
        <v>0.38791081554493367</v>
      </c>
      <c r="F5" t="s">
        <v>3</v>
      </c>
      <c r="G5">
        <v>2026</v>
      </c>
    </row>
    <row r="6" spans="1:8" ht="15.6">
      <c r="A6" t="s">
        <v>128</v>
      </c>
      <c r="B6">
        <v>2000</v>
      </c>
      <c r="C6">
        <v>2092</v>
      </c>
      <c r="D6" s="71">
        <f>(C6-B6)</f>
        <v>92</v>
      </c>
      <c r="E6" s="72">
        <f>(D6/B6)</f>
        <v>4.5999999999999999E-2</v>
      </c>
      <c r="F6" t="s">
        <v>3</v>
      </c>
      <c r="G6">
        <v>2026</v>
      </c>
    </row>
    <row r="7" spans="1:8">
      <c r="A7" s="48"/>
    </row>
    <row r="8" spans="1:8">
      <c r="A8" s="48"/>
    </row>
    <row r="9" spans="1:8">
      <c r="A9" s="48"/>
      <c r="B9" s="48"/>
    </row>
    <row r="16" spans="1:8">
      <c r="E16" s="48"/>
    </row>
    <row r="18" spans="9:9">
      <c r="I18" s="48"/>
    </row>
  </sheetData>
  <conditionalFormatting sqref="B2:G3 C5:C6 D4:F6">
    <cfRule type="colorScale" priority="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Planilha5"/>
  <dimension ref="A1:AMJ47"/>
  <sheetViews>
    <sheetView zoomScaleNormal="100" workbookViewId="0">
      <selection activeCell="F6" sqref="F6"/>
    </sheetView>
  </sheetViews>
  <sheetFormatPr defaultColWidth="11.5546875" defaultRowHeight="12.75" customHeight="1"/>
  <cols>
    <col min="1" max="1" width="16.6640625" style="4" customWidth="1"/>
    <col min="2" max="2" width="20.88671875" style="4" customWidth="1"/>
    <col min="3" max="3" width="31.33203125" style="4" customWidth="1"/>
    <col min="4" max="4" width="1.33203125" style="4" customWidth="1"/>
    <col min="5" max="5" width="2.6640625" style="4" hidden="1" customWidth="1"/>
    <col min="6" max="7" width="11.5546875" style="4"/>
    <col min="8" max="8" width="13.109375" style="4" customWidth="1"/>
    <col min="9" max="12" width="11.5546875" style="4"/>
    <col min="13" max="13" width="14.109375" style="4" customWidth="1"/>
    <col min="14" max="14" width="13.109375" style="4" customWidth="1"/>
    <col min="15" max="15" width="14.109375" style="4" customWidth="1"/>
    <col min="16" max="1024" width="11.5546875" style="4"/>
  </cols>
  <sheetData>
    <row r="1" spans="1:1024" s="41" customFormat="1" ht="15.6">
      <c r="A1" s="37" t="s">
        <v>6</v>
      </c>
      <c r="B1" s="37" t="s">
        <v>7</v>
      </c>
      <c r="C1" s="37" t="s">
        <v>8</v>
      </c>
      <c r="D1" s="38"/>
      <c r="E1" s="38"/>
      <c r="F1" s="39" t="s">
        <v>9</v>
      </c>
      <c r="G1" s="39" t="s">
        <v>10</v>
      </c>
      <c r="H1" s="39" t="s">
        <v>11</v>
      </c>
      <c r="I1" s="39" t="s">
        <v>1</v>
      </c>
      <c r="J1" s="39" t="s">
        <v>12</v>
      </c>
      <c r="K1" s="39" t="s">
        <v>13</v>
      </c>
      <c r="L1" s="39" t="s">
        <v>14</v>
      </c>
      <c r="M1" s="39" t="s">
        <v>15</v>
      </c>
      <c r="N1" s="47" t="s">
        <v>16</v>
      </c>
      <c r="O1" s="40"/>
      <c r="P1" s="40"/>
      <c r="Q1" s="40"/>
      <c r="R1" s="40"/>
      <c r="S1" s="40"/>
      <c r="T1" s="40"/>
      <c r="U1" s="40"/>
      <c r="V1" s="40"/>
      <c r="W1" s="40"/>
      <c r="X1" s="40"/>
      <c r="Y1" s="40"/>
      <c r="Z1" s="40"/>
      <c r="AA1" s="40"/>
      <c r="AB1" s="40"/>
      <c r="AC1" s="40"/>
      <c r="AD1" s="40"/>
      <c r="AE1" s="40"/>
      <c r="AF1" s="40"/>
      <c r="AG1" s="40"/>
      <c r="AH1" s="40"/>
      <c r="AI1" s="40"/>
      <c r="AJ1" s="40"/>
      <c r="AK1" s="40"/>
      <c r="AL1" s="40"/>
      <c r="AM1" s="40"/>
      <c r="AN1" s="40"/>
      <c r="AO1" s="40"/>
      <c r="AP1" s="40"/>
      <c r="AQ1" s="40"/>
      <c r="AR1" s="40"/>
      <c r="AS1" s="40"/>
      <c r="AT1" s="40"/>
      <c r="AU1" s="40"/>
      <c r="AV1" s="40"/>
      <c r="AW1" s="40"/>
      <c r="AX1" s="40"/>
      <c r="AY1" s="40"/>
      <c r="AZ1" s="40"/>
      <c r="BA1" s="40"/>
      <c r="BB1" s="40"/>
      <c r="BC1" s="40"/>
      <c r="BD1" s="40"/>
      <c r="BE1" s="40"/>
      <c r="BF1" s="40"/>
      <c r="BG1" s="40"/>
      <c r="BH1" s="40"/>
      <c r="BI1" s="40"/>
      <c r="BJ1" s="40"/>
      <c r="BK1" s="40"/>
      <c r="BL1" s="40"/>
      <c r="BM1" s="40"/>
      <c r="BN1" s="40"/>
      <c r="BO1" s="40"/>
      <c r="BP1" s="40"/>
      <c r="BQ1" s="40"/>
      <c r="BR1" s="40"/>
      <c r="BS1" s="40"/>
      <c r="BT1" s="40"/>
      <c r="BU1" s="40"/>
      <c r="BV1" s="40"/>
      <c r="BW1" s="40"/>
      <c r="BX1" s="40"/>
      <c r="BY1" s="40"/>
      <c r="BZ1" s="40"/>
      <c r="CA1" s="40"/>
      <c r="CB1" s="40"/>
      <c r="CC1" s="40"/>
      <c r="CD1" s="40"/>
      <c r="CE1" s="40"/>
      <c r="CF1" s="40"/>
      <c r="CG1" s="40"/>
      <c r="CH1" s="40"/>
      <c r="CI1" s="40"/>
      <c r="CJ1" s="40"/>
      <c r="CK1" s="40"/>
      <c r="CL1" s="40"/>
      <c r="CM1" s="40"/>
      <c r="CN1" s="40"/>
      <c r="CO1" s="40"/>
      <c r="CP1" s="40"/>
      <c r="CQ1" s="40"/>
      <c r="CR1" s="40"/>
      <c r="CS1" s="40"/>
      <c r="CT1" s="40"/>
      <c r="CU1" s="40"/>
      <c r="CV1" s="40"/>
      <c r="CW1" s="40"/>
      <c r="CX1" s="40"/>
      <c r="CY1" s="40"/>
      <c r="CZ1" s="40"/>
      <c r="DA1" s="40"/>
      <c r="DB1" s="40"/>
      <c r="DC1" s="40"/>
      <c r="DD1" s="40"/>
      <c r="DE1" s="40"/>
      <c r="DF1" s="40"/>
      <c r="DG1" s="40"/>
      <c r="DH1" s="40"/>
      <c r="DI1" s="40"/>
      <c r="DJ1" s="40"/>
      <c r="DK1" s="40"/>
      <c r="DL1" s="40"/>
      <c r="DM1" s="40"/>
      <c r="DN1" s="40"/>
      <c r="DO1" s="40"/>
      <c r="DP1" s="40"/>
      <c r="DQ1" s="40"/>
      <c r="DR1" s="40"/>
      <c r="DS1" s="40"/>
      <c r="DT1" s="40"/>
      <c r="DU1" s="40"/>
      <c r="DV1" s="40"/>
      <c r="DW1" s="40"/>
      <c r="DX1" s="40"/>
      <c r="DY1" s="40"/>
      <c r="DZ1" s="40"/>
      <c r="EA1" s="40"/>
      <c r="EB1" s="40"/>
      <c r="EC1" s="40"/>
      <c r="ED1" s="40"/>
      <c r="EE1" s="40"/>
      <c r="EF1" s="40"/>
      <c r="EG1" s="40"/>
      <c r="EH1" s="40"/>
      <c r="EI1" s="40"/>
      <c r="EJ1" s="40"/>
      <c r="EK1" s="40"/>
      <c r="EL1" s="40"/>
      <c r="EM1" s="40"/>
      <c r="EN1" s="40"/>
      <c r="EO1" s="40"/>
      <c r="EP1" s="40"/>
      <c r="EQ1" s="40"/>
      <c r="ER1" s="40"/>
      <c r="ES1" s="40"/>
      <c r="ET1" s="40"/>
      <c r="EU1" s="40"/>
      <c r="EV1" s="40"/>
      <c r="EW1" s="40"/>
      <c r="EX1" s="40"/>
      <c r="EY1" s="40"/>
      <c r="EZ1" s="40"/>
      <c r="FA1" s="40"/>
      <c r="FB1" s="40"/>
      <c r="FC1" s="40"/>
      <c r="FD1" s="40"/>
      <c r="FE1" s="40"/>
      <c r="FF1" s="40"/>
      <c r="FG1" s="40"/>
      <c r="FH1" s="40"/>
      <c r="FI1" s="40"/>
      <c r="FJ1" s="40"/>
      <c r="FK1" s="40"/>
      <c r="FL1" s="40"/>
      <c r="FM1" s="40"/>
      <c r="FN1" s="40"/>
      <c r="FO1" s="40"/>
      <c r="FP1" s="40"/>
      <c r="FQ1" s="40"/>
      <c r="FR1" s="40"/>
      <c r="FS1" s="40"/>
      <c r="FT1" s="40"/>
      <c r="FU1" s="40"/>
      <c r="FV1" s="40"/>
      <c r="FW1" s="40"/>
      <c r="FX1" s="40"/>
      <c r="FY1" s="40"/>
      <c r="FZ1" s="40"/>
      <c r="GA1" s="40"/>
      <c r="GB1" s="40"/>
      <c r="GC1" s="40"/>
      <c r="GD1" s="40"/>
      <c r="GE1" s="40"/>
      <c r="GF1" s="40"/>
      <c r="GG1" s="40"/>
      <c r="GH1" s="40"/>
      <c r="GI1" s="40"/>
      <c r="GJ1" s="40"/>
      <c r="GK1" s="40"/>
      <c r="GL1" s="40"/>
      <c r="GM1" s="40"/>
      <c r="GN1" s="40"/>
      <c r="GO1" s="40"/>
      <c r="GP1" s="40"/>
      <c r="GQ1" s="40"/>
      <c r="GR1" s="40"/>
      <c r="GS1" s="40"/>
      <c r="GT1" s="40"/>
      <c r="GU1" s="40"/>
      <c r="GV1" s="40"/>
      <c r="GW1" s="40"/>
      <c r="GX1" s="40"/>
      <c r="GY1" s="40"/>
      <c r="GZ1" s="40"/>
      <c r="HA1" s="40"/>
      <c r="HB1" s="40"/>
      <c r="HC1" s="40"/>
      <c r="HD1" s="40"/>
      <c r="HE1" s="40"/>
      <c r="HF1" s="40"/>
      <c r="HG1" s="40"/>
      <c r="HH1" s="40"/>
      <c r="HI1" s="40"/>
      <c r="HJ1" s="40"/>
      <c r="HK1" s="40"/>
      <c r="HL1" s="40"/>
      <c r="HM1" s="40"/>
      <c r="HN1" s="40"/>
      <c r="HO1" s="40"/>
      <c r="HP1" s="40"/>
      <c r="HQ1" s="40"/>
      <c r="HR1" s="40"/>
      <c r="HS1" s="40"/>
      <c r="HT1" s="40"/>
      <c r="HU1" s="40"/>
      <c r="HV1" s="40"/>
      <c r="HW1" s="40"/>
      <c r="HX1" s="40"/>
      <c r="HY1" s="40"/>
      <c r="HZ1" s="40"/>
      <c r="IA1" s="40"/>
      <c r="IB1" s="40"/>
      <c r="IC1" s="40"/>
      <c r="ID1" s="40"/>
      <c r="IE1" s="40"/>
      <c r="IF1" s="40"/>
      <c r="IG1" s="40"/>
      <c r="IH1" s="40"/>
      <c r="II1" s="40"/>
      <c r="IJ1" s="40"/>
      <c r="IK1" s="40"/>
      <c r="IL1" s="40"/>
      <c r="IM1" s="40"/>
      <c r="IN1" s="40"/>
      <c r="IO1" s="40"/>
      <c r="IP1" s="40"/>
      <c r="IQ1" s="40"/>
      <c r="IR1" s="40"/>
      <c r="IS1" s="40"/>
      <c r="IT1" s="40"/>
      <c r="IU1" s="40"/>
      <c r="IV1" s="40"/>
      <c r="IW1" s="40"/>
      <c r="IX1" s="40"/>
      <c r="IY1" s="40"/>
      <c r="IZ1" s="40"/>
      <c r="JA1" s="40"/>
      <c r="JB1" s="40"/>
      <c r="JC1" s="40"/>
      <c r="JD1" s="40"/>
      <c r="JE1" s="40"/>
      <c r="JF1" s="40"/>
      <c r="JG1" s="40"/>
      <c r="JH1" s="40"/>
      <c r="JI1" s="40"/>
      <c r="JJ1" s="40"/>
      <c r="JK1" s="40"/>
      <c r="JL1" s="40"/>
      <c r="JM1" s="40"/>
      <c r="JN1" s="40"/>
      <c r="JO1" s="40"/>
      <c r="JP1" s="40"/>
      <c r="JQ1" s="40"/>
      <c r="JR1" s="40"/>
      <c r="JS1" s="40"/>
      <c r="JT1" s="40"/>
      <c r="JU1" s="40"/>
      <c r="JV1" s="40"/>
      <c r="JW1" s="40"/>
      <c r="JX1" s="40"/>
      <c r="JY1" s="40"/>
      <c r="JZ1" s="40"/>
      <c r="KA1" s="40"/>
      <c r="KB1" s="40"/>
      <c r="KC1" s="40"/>
      <c r="KD1" s="40"/>
      <c r="KE1" s="40"/>
      <c r="KF1" s="40"/>
      <c r="KG1" s="40"/>
      <c r="KH1" s="40"/>
      <c r="KI1" s="40"/>
      <c r="KJ1" s="40"/>
      <c r="KK1" s="40"/>
      <c r="KL1" s="40"/>
      <c r="KM1" s="40"/>
      <c r="KN1" s="40"/>
      <c r="KO1" s="40"/>
      <c r="KP1" s="40"/>
      <c r="KQ1" s="40"/>
      <c r="KR1" s="40"/>
      <c r="KS1" s="40"/>
      <c r="KT1" s="40"/>
      <c r="KU1" s="40"/>
      <c r="KV1" s="40"/>
      <c r="KW1" s="40"/>
      <c r="KX1" s="40"/>
      <c r="KY1" s="40"/>
      <c r="KZ1" s="40"/>
      <c r="LA1" s="40"/>
      <c r="LB1" s="40"/>
      <c r="LC1" s="40"/>
      <c r="LD1" s="40"/>
      <c r="LE1" s="40"/>
      <c r="LF1" s="40"/>
      <c r="LG1" s="40"/>
      <c r="LH1" s="40"/>
      <c r="LI1" s="40"/>
      <c r="LJ1" s="40"/>
      <c r="LK1" s="40"/>
      <c r="LL1" s="40"/>
      <c r="LM1" s="40"/>
      <c r="LN1" s="40"/>
      <c r="LO1" s="40"/>
      <c r="LP1" s="40"/>
      <c r="LQ1" s="40"/>
      <c r="LR1" s="40"/>
      <c r="LS1" s="40"/>
      <c r="LT1" s="40"/>
      <c r="LU1" s="40"/>
      <c r="LV1" s="40"/>
      <c r="LW1" s="40"/>
      <c r="LX1" s="40"/>
      <c r="LY1" s="40"/>
      <c r="LZ1" s="40"/>
      <c r="MA1" s="40"/>
      <c r="MB1" s="40"/>
      <c r="MC1" s="40"/>
      <c r="MD1" s="40"/>
      <c r="ME1" s="40"/>
      <c r="MF1" s="40"/>
      <c r="MG1" s="40"/>
      <c r="MH1" s="40"/>
      <c r="MI1" s="40"/>
      <c r="MJ1" s="40"/>
      <c r="MK1" s="40"/>
      <c r="ML1" s="40"/>
      <c r="MM1" s="40"/>
      <c r="MN1" s="40"/>
      <c r="MO1" s="40"/>
      <c r="MP1" s="40"/>
      <c r="MQ1" s="40"/>
      <c r="MR1" s="40"/>
      <c r="MS1" s="40"/>
      <c r="MT1" s="40"/>
      <c r="MU1" s="40"/>
      <c r="MV1" s="40"/>
      <c r="MW1" s="40"/>
      <c r="MX1" s="40"/>
      <c r="MY1" s="40"/>
      <c r="MZ1" s="40"/>
      <c r="NA1" s="40"/>
      <c r="NB1" s="40"/>
      <c r="NC1" s="40"/>
      <c r="ND1" s="40"/>
      <c r="NE1" s="40"/>
      <c r="NF1" s="40"/>
      <c r="NG1" s="40"/>
      <c r="NH1" s="40"/>
      <c r="NI1" s="40"/>
      <c r="NJ1" s="40"/>
      <c r="NK1" s="40"/>
      <c r="NL1" s="40"/>
      <c r="NM1" s="40"/>
      <c r="NN1" s="40"/>
      <c r="NO1" s="40"/>
      <c r="NP1" s="40"/>
      <c r="NQ1" s="40"/>
      <c r="NR1" s="40"/>
      <c r="NS1" s="40"/>
      <c r="NT1" s="40"/>
      <c r="NU1" s="40"/>
      <c r="NV1" s="40"/>
      <c r="NW1" s="40"/>
      <c r="NX1" s="40"/>
      <c r="NY1" s="40"/>
      <c r="NZ1" s="40"/>
      <c r="OA1" s="40"/>
      <c r="OB1" s="40"/>
      <c r="OC1" s="40"/>
      <c r="OD1" s="40"/>
      <c r="OE1" s="40"/>
      <c r="OF1" s="40"/>
      <c r="OG1" s="40"/>
      <c r="OH1" s="40"/>
      <c r="OI1" s="40"/>
      <c r="OJ1" s="40"/>
      <c r="OK1" s="40"/>
      <c r="OL1" s="40"/>
      <c r="OM1" s="40"/>
      <c r="ON1" s="40"/>
      <c r="OO1" s="40"/>
      <c r="OP1" s="40"/>
      <c r="OQ1" s="40"/>
      <c r="OR1" s="40"/>
      <c r="OS1" s="40"/>
      <c r="OT1" s="40"/>
      <c r="OU1" s="40"/>
      <c r="OV1" s="40"/>
      <c r="OW1" s="40"/>
      <c r="OX1" s="40"/>
      <c r="OY1" s="40"/>
      <c r="OZ1" s="40"/>
      <c r="PA1" s="40"/>
      <c r="PB1" s="40"/>
      <c r="PC1" s="40"/>
      <c r="PD1" s="40"/>
      <c r="PE1" s="40"/>
      <c r="PF1" s="40"/>
      <c r="PG1" s="40"/>
      <c r="PH1" s="40"/>
      <c r="PI1" s="40"/>
      <c r="PJ1" s="40"/>
      <c r="PK1" s="40"/>
      <c r="PL1" s="40"/>
      <c r="PM1" s="40"/>
      <c r="PN1" s="40"/>
      <c r="PO1" s="40"/>
      <c r="PP1" s="40"/>
      <c r="PQ1" s="40"/>
      <c r="PR1" s="40"/>
      <c r="PS1" s="40"/>
      <c r="PT1" s="40"/>
      <c r="PU1" s="40"/>
      <c r="PV1" s="40"/>
      <c r="PW1" s="40"/>
      <c r="PX1" s="40"/>
      <c r="PY1" s="40"/>
      <c r="PZ1" s="40"/>
      <c r="QA1" s="40"/>
      <c r="QB1" s="40"/>
      <c r="QC1" s="40"/>
      <c r="QD1" s="40"/>
      <c r="QE1" s="40"/>
      <c r="QF1" s="40"/>
      <c r="QG1" s="40"/>
      <c r="QH1" s="40"/>
      <c r="QI1" s="40"/>
      <c r="QJ1" s="40"/>
      <c r="QK1" s="40"/>
      <c r="QL1" s="40"/>
      <c r="QM1" s="40"/>
      <c r="QN1" s="40"/>
      <c r="QO1" s="40"/>
      <c r="QP1" s="40"/>
      <c r="QQ1" s="40"/>
      <c r="QR1" s="40"/>
      <c r="QS1" s="40"/>
      <c r="QT1" s="40"/>
      <c r="QU1" s="40"/>
      <c r="QV1" s="40"/>
      <c r="QW1" s="40"/>
      <c r="QX1" s="40"/>
      <c r="QY1" s="40"/>
      <c r="QZ1" s="40"/>
      <c r="RA1" s="40"/>
      <c r="RB1" s="40"/>
      <c r="RC1" s="40"/>
      <c r="RD1" s="40"/>
      <c r="RE1" s="40"/>
      <c r="RF1" s="40"/>
      <c r="RG1" s="40"/>
      <c r="RH1" s="40"/>
      <c r="RI1" s="40"/>
      <c r="RJ1" s="40"/>
      <c r="RK1" s="40"/>
      <c r="RL1" s="40"/>
      <c r="RM1" s="40"/>
      <c r="RN1" s="40"/>
      <c r="RO1" s="40"/>
      <c r="RP1" s="40"/>
      <c r="RQ1" s="40"/>
      <c r="RR1" s="40"/>
      <c r="RS1" s="40"/>
      <c r="RT1" s="40"/>
      <c r="RU1" s="40"/>
      <c r="RV1" s="40"/>
      <c r="RW1" s="40"/>
      <c r="RX1" s="40"/>
      <c r="RY1" s="40"/>
      <c r="RZ1" s="40"/>
      <c r="SA1" s="40"/>
      <c r="SB1" s="40"/>
      <c r="SC1" s="40"/>
      <c r="SD1" s="40"/>
      <c r="SE1" s="40"/>
      <c r="SF1" s="40"/>
      <c r="SG1" s="40"/>
      <c r="SH1" s="40"/>
      <c r="SI1" s="40"/>
      <c r="SJ1" s="40"/>
      <c r="SK1" s="40"/>
      <c r="SL1" s="40"/>
      <c r="SM1" s="40"/>
      <c r="SN1" s="40"/>
      <c r="SO1" s="40"/>
      <c r="SP1" s="40"/>
      <c r="SQ1" s="40"/>
      <c r="SR1" s="40"/>
      <c r="SS1" s="40"/>
      <c r="ST1" s="40"/>
      <c r="SU1" s="40"/>
      <c r="SV1" s="40"/>
      <c r="SW1" s="40"/>
      <c r="SX1" s="40"/>
      <c r="SY1" s="40"/>
      <c r="SZ1" s="40"/>
      <c r="TA1" s="40"/>
      <c r="TB1" s="40"/>
      <c r="TC1" s="40"/>
      <c r="TD1" s="40"/>
      <c r="TE1" s="40"/>
      <c r="TF1" s="40"/>
      <c r="TG1" s="40"/>
      <c r="TH1" s="40"/>
      <c r="TI1" s="40"/>
      <c r="TJ1" s="40"/>
      <c r="TK1" s="40"/>
      <c r="TL1" s="40"/>
      <c r="TM1" s="40"/>
      <c r="TN1" s="40"/>
      <c r="TO1" s="40"/>
      <c r="TP1" s="40"/>
      <c r="TQ1" s="40"/>
      <c r="TR1" s="40"/>
      <c r="TS1" s="40"/>
      <c r="TT1" s="40"/>
      <c r="TU1" s="40"/>
      <c r="TV1" s="40"/>
      <c r="TW1" s="40"/>
      <c r="TX1" s="40"/>
      <c r="TY1" s="40"/>
      <c r="TZ1" s="40"/>
      <c r="UA1" s="40"/>
      <c r="UB1" s="40"/>
      <c r="UC1" s="40"/>
      <c r="UD1" s="40"/>
      <c r="UE1" s="40"/>
      <c r="UF1" s="40"/>
      <c r="UG1" s="40"/>
      <c r="UH1" s="40"/>
      <c r="UI1" s="40"/>
      <c r="UJ1" s="40"/>
      <c r="UK1" s="40"/>
      <c r="UL1" s="40"/>
      <c r="UM1" s="40"/>
      <c r="UN1" s="40"/>
      <c r="UO1" s="40"/>
      <c r="UP1" s="40"/>
      <c r="UQ1" s="40"/>
      <c r="UR1" s="40"/>
      <c r="US1" s="40"/>
      <c r="UT1" s="40"/>
      <c r="UU1" s="40"/>
      <c r="UV1" s="40"/>
      <c r="UW1" s="40"/>
      <c r="UX1" s="40"/>
      <c r="UY1" s="40"/>
      <c r="UZ1" s="40"/>
      <c r="VA1" s="40"/>
      <c r="VB1" s="40"/>
      <c r="VC1" s="40"/>
      <c r="VD1" s="40"/>
      <c r="VE1" s="40"/>
      <c r="VF1" s="40"/>
      <c r="VG1" s="40"/>
      <c r="VH1" s="40"/>
      <c r="VI1" s="40"/>
      <c r="VJ1" s="40"/>
      <c r="VK1" s="40"/>
      <c r="VL1" s="40"/>
      <c r="VM1" s="40"/>
      <c r="VN1" s="40"/>
      <c r="VO1" s="40"/>
      <c r="VP1" s="40"/>
      <c r="VQ1" s="40"/>
      <c r="VR1" s="40"/>
      <c r="VS1" s="40"/>
      <c r="VT1" s="40"/>
      <c r="VU1" s="40"/>
      <c r="VV1" s="40"/>
      <c r="VW1" s="40"/>
      <c r="VX1" s="40"/>
      <c r="VY1" s="40"/>
      <c r="VZ1" s="40"/>
      <c r="WA1" s="40"/>
      <c r="WB1" s="40"/>
      <c r="WC1" s="40"/>
      <c r="WD1" s="40"/>
      <c r="WE1" s="40"/>
      <c r="WF1" s="40"/>
      <c r="WG1" s="40"/>
      <c r="WH1" s="40"/>
      <c r="WI1" s="40"/>
      <c r="WJ1" s="40"/>
      <c r="WK1" s="40"/>
      <c r="WL1" s="40"/>
      <c r="WM1" s="40"/>
      <c r="WN1" s="40"/>
      <c r="WO1" s="40"/>
      <c r="WP1" s="40"/>
      <c r="WQ1" s="40"/>
      <c r="WR1" s="40"/>
      <c r="WS1" s="40"/>
      <c r="WT1" s="40"/>
      <c r="WU1" s="40"/>
      <c r="WV1" s="40"/>
      <c r="WW1" s="40"/>
      <c r="WX1" s="40"/>
      <c r="WY1" s="40"/>
      <c r="WZ1" s="40"/>
      <c r="XA1" s="40"/>
      <c r="XB1" s="40"/>
      <c r="XC1" s="40"/>
      <c r="XD1" s="40"/>
      <c r="XE1" s="40"/>
      <c r="XF1" s="40"/>
      <c r="XG1" s="40"/>
      <c r="XH1" s="40"/>
      <c r="XI1" s="40"/>
      <c r="XJ1" s="40"/>
      <c r="XK1" s="40"/>
      <c r="XL1" s="40"/>
      <c r="XM1" s="40"/>
      <c r="XN1" s="40"/>
      <c r="XO1" s="40"/>
      <c r="XP1" s="40"/>
      <c r="XQ1" s="40"/>
      <c r="XR1" s="40"/>
      <c r="XS1" s="40"/>
      <c r="XT1" s="40"/>
      <c r="XU1" s="40"/>
      <c r="XV1" s="40"/>
      <c r="XW1" s="40"/>
      <c r="XX1" s="40"/>
      <c r="XY1" s="40"/>
      <c r="XZ1" s="40"/>
      <c r="YA1" s="40"/>
      <c r="YB1" s="40"/>
      <c r="YC1" s="40"/>
      <c r="YD1" s="40"/>
      <c r="YE1" s="40"/>
      <c r="YF1" s="40"/>
      <c r="YG1" s="40"/>
      <c r="YH1" s="40"/>
      <c r="YI1" s="40"/>
      <c r="YJ1" s="40"/>
      <c r="YK1" s="40"/>
      <c r="YL1" s="40"/>
      <c r="YM1" s="40"/>
      <c r="YN1" s="40"/>
      <c r="YO1" s="40"/>
      <c r="YP1" s="40"/>
      <c r="YQ1" s="40"/>
      <c r="YR1" s="40"/>
      <c r="YS1" s="40"/>
      <c r="YT1" s="40"/>
      <c r="YU1" s="40"/>
      <c r="YV1" s="40"/>
      <c r="YW1" s="40"/>
      <c r="YX1" s="40"/>
      <c r="YY1" s="40"/>
      <c r="YZ1" s="40"/>
      <c r="ZA1" s="40"/>
      <c r="ZB1" s="40"/>
      <c r="ZC1" s="40"/>
      <c r="ZD1" s="40"/>
      <c r="ZE1" s="40"/>
      <c r="ZF1" s="40"/>
      <c r="ZG1" s="40"/>
      <c r="ZH1" s="40"/>
      <c r="ZI1" s="40"/>
      <c r="ZJ1" s="40"/>
      <c r="ZK1" s="40"/>
      <c r="ZL1" s="40"/>
      <c r="ZM1" s="40"/>
      <c r="ZN1" s="40"/>
      <c r="ZO1" s="40"/>
      <c r="ZP1" s="40"/>
      <c r="ZQ1" s="40"/>
      <c r="ZR1" s="40"/>
      <c r="ZS1" s="40"/>
      <c r="ZT1" s="40"/>
      <c r="ZU1" s="40"/>
      <c r="ZV1" s="40"/>
      <c r="ZW1" s="40"/>
      <c r="ZX1" s="40"/>
      <c r="ZY1" s="40"/>
      <c r="ZZ1" s="40"/>
      <c r="AAA1" s="40"/>
      <c r="AAB1" s="40"/>
      <c r="AAC1" s="40"/>
      <c r="AAD1" s="40"/>
      <c r="AAE1" s="40"/>
      <c r="AAF1" s="40"/>
      <c r="AAG1" s="40"/>
      <c r="AAH1" s="40"/>
      <c r="AAI1" s="40"/>
      <c r="AAJ1" s="40"/>
      <c r="AAK1" s="40"/>
      <c r="AAL1" s="40"/>
      <c r="AAM1" s="40"/>
      <c r="AAN1" s="40"/>
      <c r="AAO1" s="40"/>
      <c r="AAP1" s="40"/>
      <c r="AAQ1" s="40"/>
      <c r="AAR1" s="40"/>
      <c r="AAS1" s="40"/>
      <c r="AAT1" s="40"/>
      <c r="AAU1" s="40"/>
      <c r="AAV1" s="40"/>
      <c r="AAW1" s="40"/>
      <c r="AAX1" s="40"/>
      <c r="AAY1" s="40"/>
      <c r="AAZ1" s="40"/>
      <c r="ABA1" s="40"/>
      <c r="ABB1" s="40"/>
      <c r="ABC1" s="40"/>
      <c r="ABD1" s="40"/>
      <c r="ABE1" s="40"/>
      <c r="ABF1" s="40"/>
      <c r="ABG1" s="40"/>
      <c r="ABH1" s="40"/>
      <c r="ABI1" s="40"/>
      <c r="ABJ1" s="40"/>
      <c r="ABK1" s="40"/>
      <c r="ABL1" s="40"/>
      <c r="ABM1" s="40"/>
      <c r="ABN1" s="40"/>
      <c r="ABO1" s="40"/>
      <c r="ABP1" s="40"/>
      <c r="ABQ1" s="40"/>
      <c r="ABR1" s="40"/>
      <c r="ABS1" s="40"/>
      <c r="ABT1" s="40"/>
      <c r="ABU1" s="40"/>
      <c r="ABV1" s="40"/>
      <c r="ABW1" s="40"/>
      <c r="ABX1" s="40"/>
      <c r="ABY1" s="40"/>
      <c r="ABZ1" s="40"/>
      <c r="ACA1" s="40"/>
      <c r="ACB1" s="40"/>
      <c r="ACC1" s="40"/>
      <c r="ACD1" s="40"/>
      <c r="ACE1" s="40"/>
      <c r="ACF1" s="40"/>
      <c r="ACG1" s="40"/>
      <c r="ACH1" s="40"/>
      <c r="ACI1" s="40"/>
      <c r="ACJ1" s="40"/>
      <c r="ACK1" s="40"/>
      <c r="ACL1" s="40"/>
      <c r="ACM1" s="40"/>
      <c r="ACN1" s="40"/>
      <c r="ACO1" s="40"/>
      <c r="ACP1" s="40"/>
      <c r="ACQ1" s="40"/>
      <c r="ACR1" s="40"/>
      <c r="ACS1" s="40"/>
      <c r="ACT1" s="40"/>
      <c r="ACU1" s="40"/>
      <c r="ACV1" s="40"/>
      <c r="ACW1" s="40"/>
      <c r="ACX1" s="40"/>
      <c r="ACY1" s="40"/>
      <c r="ACZ1" s="40"/>
      <c r="ADA1" s="40"/>
      <c r="ADB1" s="40"/>
      <c r="ADC1" s="40"/>
      <c r="ADD1" s="40"/>
      <c r="ADE1" s="40"/>
      <c r="ADF1" s="40"/>
      <c r="ADG1" s="40"/>
      <c r="ADH1" s="40"/>
      <c r="ADI1" s="40"/>
      <c r="ADJ1" s="40"/>
      <c r="ADK1" s="40"/>
      <c r="ADL1" s="40"/>
      <c r="ADM1" s="40"/>
      <c r="ADN1" s="40"/>
      <c r="ADO1" s="40"/>
      <c r="ADP1" s="40"/>
      <c r="ADQ1" s="40"/>
      <c r="ADR1" s="40"/>
      <c r="ADS1" s="40"/>
      <c r="ADT1" s="40"/>
      <c r="ADU1" s="40"/>
      <c r="ADV1" s="40"/>
      <c r="ADW1" s="40"/>
      <c r="ADX1" s="40"/>
      <c r="ADY1" s="40"/>
      <c r="ADZ1" s="40"/>
      <c r="AEA1" s="40"/>
      <c r="AEB1" s="40"/>
      <c r="AEC1" s="40"/>
      <c r="AED1" s="40"/>
      <c r="AEE1" s="40"/>
      <c r="AEF1" s="40"/>
      <c r="AEG1" s="40"/>
      <c r="AEH1" s="40"/>
      <c r="AEI1" s="40"/>
      <c r="AEJ1" s="40"/>
      <c r="AEK1" s="40"/>
      <c r="AEL1" s="40"/>
      <c r="AEM1" s="40"/>
      <c r="AEN1" s="40"/>
      <c r="AEO1" s="40"/>
      <c r="AEP1" s="40"/>
      <c r="AEQ1" s="40"/>
      <c r="AER1" s="40"/>
      <c r="AES1" s="40"/>
      <c r="AET1" s="40"/>
      <c r="AEU1" s="40"/>
      <c r="AEV1" s="40"/>
      <c r="AEW1" s="40"/>
      <c r="AEX1" s="40"/>
      <c r="AEY1" s="40"/>
      <c r="AEZ1" s="40"/>
      <c r="AFA1" s="40"/>
      <c r="AFB1" s="40"/>
      <c r="AFC1" s="40"/>
      <c r="AFD1" s="40"/>
      <c r="AFE1" s="40"/>
      <c r="AFF1" s="40"/>
      <c r="AFG1" s="40"/>
      <c r="AFH1" s="40"/>
      <c r="AFI1" s="40"/>
      <c r="AFJ1" s="40"/>
      <c r="AFK1" s="40"/>
      <c r="AFL1" s="40"/>
      <c r="AFM1" s="40"/>
      <c r="AFN1" s="40"/>
      <c r="AFO1" s="40"/>
      <c r="AFP1" s="40"/>
      <c r="AFQ1" s="40"/>
      <c r="AFR1" s="40"/>
      <c r="AFS1" s="40"/>
      <c r="AFT1" s="40"/>
      <c r="AFU1" s="40"/>
      <c r="AFV1" s="40"/>
      <c r="AFW1" s="40"/>
      <c r="AFX1" s="40"/>
      <c r="AFY1" s="40"/>
      <c r="AFZ1" s="40"/>
      <c r="AGA1" s="40"/>
      <c r="AGB1" s="40"/>
      <c r="AGC1" s="40"/>
      <c r="AGD1" s="40"/>
      <c r="AGE1" s="40"/>
      <c r="AGF1" s="40"/>
      <c r="AGG1" s="40"/>
      <c r="AGH1" s="40"/>
      <c r="AGI1" s="40"/>
      <c r="AGJ1" s="40"/>
      <c r="AGK1" s="40"/>
      <c r="AGL1" s="40"/>
      <c r="AGM1" s="40"/>
      <c r="AGN1" s="40"/>
      <c r="AGO1" s="40"/>
      <c r="AGP1" s="40"/>
      <c r="AGQ1" s="40"/>
      <c r="AGR1" s="40"/>
      <c r="AGS1" s="40"/>
      <c r="AGT1" s="40"/>
      <c r="AGU1" s="40"/>
      <c r="AGV1" s="40"/>
      <c r="AGW1" s="40"/>
      <c r="AGX1" s="40"/>
      <c r="AGY1" s="40"/>
      <c r="AGZ1" s="40"/>
      <c r="AHA1" s="40"/>
      <c r="AHB1" s="40"/>
      <c r="AHC1" s="40"/>
      <c r="AHD1" s="40"/>
      <c r="AHE1" s="40"/>
      <c r="AHF1" s="40"/>
      <c r="AHG1" s="40"/>
      <c r="AHH1" s="40"/>
      <c r="AHI1" s="40"/>
      <c r="AHJ1" s="40"/>
      <c r="AHK1" s="40"/>
      <c r="AHL1" s="40"/>
      <c r="AHM1" s="40"/>
      <c r="AHN1" s="40"/>
      <c r="AHO1" s="40"/>
      <c r="AHP1" s="40"/>
      <c r="AHQ1" s="40"/>
      <c r="AHR1" s="40"/>
      <c r="AHS1" s="40"/>
      <c r="AHT1" s="40"/>
      <c r="AHU1" s="40"/>
      <c r="AHV1" s="40"/>
      <c r="AHW1" s="40"/>
      <c r="AHX1" s="40"/>
      <c r="AHY1" s="40"/>
      <c r="AHZ1" s="40"/>
      <c r="AIA1" s="40"/>
      <c r="AIB1" s="40"/>
      <c r="AIC1" s="40"/>
      <c r="AID1" s="40"/>
      <c r="AIE1" s="40"/>
      <c r="AIF1" s="40"/>
      <c r="AIG1" s="40"/>
      <c r="AIH1" s="40"/>
      <c r="AII1" s="40"/>
      <c r="AIJ1" s="40"/>
      <c r="AIK1" s="40"/>
      <c r="AIL1" s="40"/>
      <c r="AIM1" s="40"/>
      <c r="AIN1" s="40"/>
      <c r="AIO1" s="40"/>
      <c r="AIP1" s="40"/>
      <c r="AIQ1" s="40"/>
      <c r="AIR1" s="40"/>
      <c r="AIS1" s="40"/>
      <c r="AIT1" s="40"/>
      <c r="AIU1" s="40"/>
      <c r="AIV1" s="40"/>
      <c r="AIW1" s="40"/>
      <c r="AIX1" s="40"/>
      <c r="AIY1" s="40"/>
      <c r="AIZ1" s="40"/>
      <c r="AJA1" s="40"/>
      <c r="AJB1" s="40"/>
      <c r="AJC1" s="40"/>
      <c r="AJD1" s="40"/>
      <c r="AJE1" s="40"/>
      <c r="AJF1" s="40"/>
      <c r="AJG1" s="40"/>
      <c r="AJH1" s="40"/>
      <c r="AJI1" s="40"/>
      <c r="AJJ1" s="40"/>
      <c r="AJK1" s="40"/>
      <c r="AJL1" s="40"/>
      <c r="AJM1" s="40"/>
      <c r="AJN1" s="40"/>
      <c r="AJO1" s="40"/>
      <c r="AJP1" s="40"/>
      <c r="AJQ1" s="40"/>
      <c r="AJR1" s="40"/>
      <c r="AJS1" s="40"/>
      <c r="AJT1" s="40"/>
      <c r="AJU1" s="40"/>
      <c r="AJV1" s="40"/>
      <c r="AJW1" s="40"/>
      <c r="AJX1" s="40"/>
      <c r="AJY1" s="40"/>
      <c r="AJZ1" s="40"/>
      <c r="AKA1" s="40"/>
      <c r="AKB1" s="40"/>
      <c r="AKC1" s="40"/>
      <c r="AKD1" s="40"/>
      <c r="AKE1" s="40"/>
      <c r="AKF1" s="40"/>
      <c r="AKG1" s="40"/>
      <c r="AKH1" s="40"/>
      <c r="AKI1" s="40"/>
      <c r="AKJ1" s="40"/>
      <c r="AKK1" s="40"/>
      <c r="AKL1" s="40"/>
      <c r="AKM1" s="40"/>
      <c r="AKN1" s="40"/>
      <c r="AKO1" s="40"/>
      <c r="AKP1" s="40"/>
      <c r="AKQ1" s="40"/>
      <c r="AKR1" s="40"/>
      <c r="AKS1" s="40"/>
      <c r="AKT1" s="40"/>
      <c r="AKU1" s="40"/>
      <c r="AKV1" s="40"/>
      <c r="AKW1" s="40"/>
      <c r="AKX1" s="40"/>
      <c r="AKY1" s="40"/>
      <c r="AKZ1" s="40"/>
      <c r="ALA1" s="40"/>
      <c r="ALB1" s="40"/>
      <c r="ALC1" s="40"/>
      <c r="ALD1" s="40"/>
      <c r="ALE1" s="40"/>
      <c r="ALF1" s="40"/>
      <c r="ALG1" s="40"/>
      <c r="ALH1" s="40"/>
      <c r="ALI1" s="40"/>
      <c r="ALJ1" s="40"/>
      <c r="ALK1" s="40"/>
      <c r="ALL1" s="40"/>
      <c r="ALM1" s="40"/>
      <c r="ALN1" s="40"/>
      <c r="ALO1" s="40"/>
      <c r="ALP1" s="40"/>
      <c r="ALQ1" s="40"/>
      <c r="ALR1" s="40"/>
      <c r="ALS1" s="40"/>
      <c r="ALT1" s="40"/>
      <c r="ALU1" s="40"/>
      <c r="ALV1" s="40"/>
      <c r="ALW1" s="40"/>
      <c r="ALX1" s="40"/>
      <c r="ALY1" s="40"/>
      <c r="ALZ1" s="40"/>
      <c r="AMA1" s="40"/>
      <c r="AMB1" s="40"/>
      <c r="AMC1" s="40"/>
      <c r="AMD1" s="40"/>
      <c r="AME1" s="40"/>
      <c r="AMF1" s="40"/>
      <c r="AMG1" s="40"/>
      <c r="AMH1" s="40"/>
      <c r="AMI1" s="40"/>
      <c r="AMJ1" s="40"/>
    </row>
    <row r="2" spans="1:1024" s="41" customFormat="1" ht="15.6">
      <c r="A2" s="42">
        <v>3100</v>
      </c>
      <c r="B2" s="66" t="e">
        <f>SUM(#REF!)</f>
        <v>#REF!</v>
      </c>
      <c r="C2" s="42">
        <v>10000</v>
      </c>
      <c r="D2" s="38"/>
      <c r="E2" s="38"/>
      <c r="F2" s="43">
        <v>14490</v>
      </c>
      <c r="G2" s="44">
        <v>10000</v>
      </c>
      <c r="H2" s="45" t="e">
        <f>(F2-#REF!)</f>
        <v>#REF!</v>
      </c>
      <c r="I2" s="46">
        <f>9.48/19990.52</f>
        <v>4.7422478254692725E-4</v>
      </c>
      <c r="J2" s="45">
        <v>2000</v>
      </c>
      <c r="K2" s="46">
        <f>(6/7)</f>
        <v>0.8571428571428571</v>
      </c>
      <c r="L2" s="46">
        <f>(100%-K2)</f>
        <v>0.1428571428571429</v>
      </c>
      <c r="M2" s="45">
        <v>3000</v>
      </c>
      <c r="N2" s="45"/>
      <c r="O2" s="40"/>
      <c r="P2" s="40"/>
      <c r="Q2" s="40"/>
      <c r="R2" s="40"/>
      <c r="S2" s="40"/>
      <c r="T2" s="40"/>
      <c r="U2" s="40"/>
      <c r="V2" s="40"/>
      <c r="W2" s="40"/>
      <c r="X2" s="40"/>
      <c r="Y2" s="40"/>
      <c r="Z2" s="40"/>
      <c r="AA2" s="40"/>
      <c r="AB2" s="40"/>
      <c r="AC2" s="40"/>
      <c r="AD2" s="40"/>
      <c r="AE2" s="40"/>
      <c r="AF2" s="40"/>
      <c r="AG2" s="40"/>
      <c r="AH2" s="40"/>
      <c r="AI2" s="40"/>
      <c r="AJ2" s="40"/>
      <c r="AK2" s="40"/>
      <c r="AL2" s="40"/>
      <c r="AM2" s="40"/>
      <c r="AN2" s="40"/>
      <c r="AO2" s="40"/>
      <c r="AP2" s="40"/>
      <c r="AQ2" s="40"/>
      <c r="AR2" s="40"/>
      <c r="AS2" s="40"/>
      <c r="AT2" s="40"/>
      <c r="AU2" s="40"/>
      <c r="AV2" s="40"/>
      <c r="AW2" s="40"/>
      <c r="AX2" s="40"/>
      <c r="AY2" s="40"/>
      <c r="AZ2" s="40"/>
      <c r="BA2" s="40"/>
      <c r="BB2" s="40"/>
      <c r="BC2" s="40"/>
      <c r="BD2" s="40"/>
      <c r="BE2" s="40"/>
      <c r="BF2" s="40"/>
      <c r="BG2" s="40"/>
      <c r="BH2" s="40"/>
      <c r="BI2" s="40"/>
      <c r="BJ2" s="40"/>
      <c r="BK2" s="40"/>
      <c r="BL2" s="40"/>
      <c r="BM2" s="40"/>
      <c r="BN2" s="40"/>
      <c r="BO2" s="40"/>
      <c r="BP2" s="40"/>
      <c r="BQ2" s="40"/>
      <c r="BR2" s="40"/>
      <c r="BS2" s="40"/>
      <c r="BT2" s="40"/>
      <c r="BU2" s="40"/>
      <c r="BV2" s="40"/>
      <c r="BW2" s="40"/>
      <c r="BX2" s="40"/>
      <c r="BY2" s="40"/>
      <c r="BZ2" s="40"/>
      <c r="CA2" s="40"/>
      <c r="CB2" s="40"/>
      <c r="CC2" s="40"/>
      <c r="CD2" s="40"/>
      <c r="CE2" s="40"/>
      <c r="CF2" s="40"/>
      <c r="CG2" s="40"/>
      <c r="CH2" s="40"/>
      <c r="CI2" s="40"/>
      <c r="CJ2" s="40"/>
      <c r="CK2" s="40"/>
      <c r="CL2" s="40"/>
      <c r="CM2" s="40"/>
      <c r="CN2" s="40"/>
      <c r="CO2" s="40"/>
      <c r="CP2" s="40"/>
      <c r="CQ2" s="40"/>
      <c r="CR2" s="40"/>
      <c r="CS2" s="40"/>
      <c r="CT2" s="40"/>
      <c r="CU2" s="40"/>
      <c r="CV2" s="40"/>
      <c r="CW2" s="40"/>
      <c r="CX2" s="40"/>
      <c r="CY2" s="40"/>
      <c r="CZ2" s="40"/>
      <c r="DA2" s="40"/>
      <c r="DB2" s="40"/>
      <c r="DC2" s="40"/>
      <c r="DD2" s="40"/>
      <c r="DE2" s="40"/>
      <c r="DF2" s="40"/>
      <c r="DG2" s="40"/>
      <c r="DH2" s="40"/>
      <c r="DI2" s="40"/>
      <c r="DJ2" s="40"/>
      <c r="DK2" s="40"/>
      <c r="DL2" s="40"/>
      <c r="DM2" s="40"/>
      <c r="DN2" s="40"/>
      <c r="DO2" s="40"/>
      <c r="DP2" s="40"/>
      <c r="DQ2" s="40"/>
      <c r="DR2" s="40"/>
      <c r="DS2" s="40"/>
      <c r="DT2" s="40"/>
      <c r="DU2" s="40"/>
      <c r="DV2" s="40"/>
      <c r="DW2" s="40"/>
      <c r="DX2" s="40"/>
      <c r="DY2" s="40"/>
      <c r="DZ2" s="40"/>
      <c r="EA2" s="40"/>
      <c r="EB2" s="40"/>
      <c r="EC2" s="40"/>
      <c r="ED2" s="40"/>
      <c r="EE2" s="40"/>
      <c r="EF2" s="40"/>
      <c r="EG2" s="40"/>
      <c r="EH2" s="40"/>
      <c r="EI2" s="40"/>
      <c r="EJ2" s="40"/>
      <c r="EK2" s="40"/>
      <c r="EL2" s="40"/>
      <c r="EM2" s="40"/>
      <c r="EN2" s="40"/>
      <c r="EO2" s="40"/>
      <c r="EP2" s="40"/>
      <c r="EQ2" s="40"/>
      <c r="ER2" s="40"/>
      <c r="ES2" s="40"/>
      <c r="ET2" s="40"/>
      <c r="EU2" s="40"/>
      <c r="EV2" s="40"/>
      <c r="EW2" s="40"/>
      <c r="EX2" s="40"/>
      <c r="EY2" s="40"/>
      <c r="EZ2" s="40"/>
      <c r="FA2" s="40"/>
      <c r="FB2" s="40"/>
      <c r="FC2" s="40"/>
      <c r="FD2" s="40"/>
      <c r="FE2" s="40"/>
      <c r="FF2" s="40"/>
      <c r="FG2" s="40"/>
      <c r="FH2" s="40"/>
      <c r="FI2" s="40"/>
      <c r="FJ2" s="40"/>
      <c r="FK2" s="40"/>
      <c r="FL2" s="40"/>
      <c r="FM2" s="40"/>
      <c r="FN2" s="40"/>
      <c r="FO2" s="40"/>
      <c r="FP2" s="40"/>
      <c r="FQ2" s="40"/>
      <c r="FR2" s="40"/>
      <c r="FS2" s="40"/>
      <c r="FT2" s="40"/>
      <c r="FU2" s="40"/>
      <c r="FV2" s="40"/>
      <c r="FW2" s="40"/>
      <c r="FX2" s="40"/>
      <c r="FY2" s="40"/>
      <c r="FZ2" s="40"/>
      <c r="GA2" s="40"/>
      <c r="GB2" s="40"/>
      <c r="GC2" s="40"/>
      <c r="GD2" s="40"/>
      <c r="GE2" s="40"/>
      <c r="GF2" s="40"/>
      <c r="GG2" s="40"/>
      <c r="GH2" s="40"/>
      <c r="GI2" s="40"/>
      <c r="GJ2" s="40"/>
      <c r="GK2" s="40"/>
      <c r="GL2" s="40"/>
      <c r="GM2" s="40"/>
      <c r="GN2" s="40"/>
      <c r="GO2" s="40"/>
      <c r="GP2" s="40"/>
      <c r="GQ2" s="40"/>
      <c r="GR2" s="40"/>
      <c r="GS2" s="40"/>
      <c r="GT2" s="40"/>
      <c r="GU2" s="40"/>
      <c r="GV2" s="40"/>
      <c r="GW2" s="40"/>
      <c r="GX2" s="40"/>
      <c r="GY2" s="40"/>
      <c r="GZ2" s="40"/>
      <c r="HA2" s="40"/>
      <c r="HB2" s="40"/>
      <c r="HC2" s="40"/>
      <c r="HD2" s="40"/>
      <c r="HE2" s="40"/>
      <c r="HF2" s="40"/>
      <c r="HG2" s="40"/>
      <c r="HH2" s="40"/>
      <c r="HI2" s="40"/>
      <c r="HJ2" s="40"/>
      <c r="HK2" s="40"/>
      <c r="HL2" s="40"/>
      <c r="HM2" s="40"/>
      <c r="HN2" s="40"/>
      <c r="HO2" s="40"/>
      <c r="HP2" s="40"/>
      <c r="HQ2" s="40"/>
      <c r="HR2" s="40"/>
      <c r="HS2" s="40"/>
      <c r="HT2" s="40"/>
      <c r="HU2" s="40"/>
      <c r="HV2" s="40"/>
      <c r="HW2" s="40"/>
      <c r="HX2" s="40"/>
      <c r="HY2" s="40"/>
      <c r="HZ2" s="40"/>
      <c r="IA2" s="40"/>
      <c r="IB2" s="40"/>
      <c r="IC2" s="40"/>
      <c r="ID2" s="40"/>
      <c r="IE2" s="40"/>
      <c r="IF2" s="40"/>
      <c r="IG2" s="40"/>
      <c r="IH2" s="40"/>
      <c r="II2" s="40"/>
      <c r="IJ2" s="40"/>
      <c r="IK2" s="40"/>
      <c r="IL2" s="40"/>
      <c r="IM2" s="40"/>
      <c r="IN2" s="40"/>
      <c r="IO2" s="40"/>
      <c r="IP2" s="40"/>
      <c r="IQ2" s="40"/>
      <c r="IR2" s="40"/>
      <c r="IS2" s="40"/>
      <c r="IT2" s="40"/>
      <c r="IU2" s="40"/>
      <c r="IV2" s="40"/>
      <c r="IW2" s="40"/>
      <c r="IX2" s="40"/>
      <c r="IY2" s="40"/>
      <c r="IZ2" s="40"/>
      <c r="JA2" s="40"/>
      <c r="JB2" s="40"/>
      <c r="JC2" s="40"/>
      <c r="JD2" s="40"/>
      <c r="JE2" s="40"/>
      <c r="JF2" s="40"/>
      <c r="JG2" s="40"/>
      <c r="JH2" s="40"/>
      <c r="JI2" s="40"/>
      <c r="JJ2" s="40"/>
      <c r="JK2" s="40"/>
      <c r="JL2" s="40"/>
      <c r="JM2" s="40"/>
      <c r="JN2" s="40"/>
      <c r="JO2" s="40"/>
      <c r="JP2" s="40"/>
      <c r="JQ2" s="40"/>
      <c r="JR2" s="40"/>
      <c r="JS2" s="40"/>
      <c r="JT2" s="40"/>
      <c r="JU2" s="40"/>
      <c r="JV2" s="40"/>
      <c r="JW2" s="40"/>
      <c r="JX2" s="40"/>
      <c r="JY2" s="40"/>
      <c r="JZ2" s="40"/>
      <c r="KA2" s="40"/>
      <c r="KB2" s="40"/>
      <c r="KC2" s="40"/>
      <c r="KD2" s="40"/>
      <c r="KE2" s="40"/>
      <c r="KF2" s="40"/>
      <c r="KG2" s="40"/>
      <c r="KH2" s="40"/>
      <c r="KI2" s="40"/>
      <c r="KJ2" s="40"/>
      <c r="KK2" s="40"/>
      <c r="KL2" s="40"/>
      <c r="KM2" s="40"/>
      <c r="KN2" s="40"/>
      <c r="KO2" s="40"/>
      <c r="KP2" s="40"/>
      <c r="KQ2" s="40"/>
      <c r="KR2" s="40"/>
      <c r="KS2" s="40"/>
      <c r="KT2" s="40"/>
      <c r="KU2" s="40"/>
      <c r="KV2" s="40"/>
      <c r="KW2" s="40"/>
      <c r="KX2" s="40"/>
      <c r="KY2" s="40"/>
      <c r="KZ2" s="40"/>
      <c r="LA2" s="40"/>
      <c r="LB2" s="40"/>
      <c r="LC2" s="40"/>
      <c r="LD2" s="40"/>
      <c r="LE2" s="40"/>
      <c r="LF2" s="40"/>
      <c r="LG2" s="40"/>
      <c r="LH2" s="40"/>
      <c r="LI2" s="40"/>
      <c r="LJ2" s="40"/>
      <c r="LK2" s="40"/>
      <c r="LL2" s="40"/>
      <c r="LM2" s="40"/>
      <c r="LN2" s="40"/>
      <c r="LO2" s="40"/>
      <c r="LP2" s="40"/>
      <c r="LQ2" s="40"/>
      <c r="LR2" s="40"/>
      <c r="LS2" s="40"/>
      <c r="LT2" s="40"/>
      <c r="LU2" s="40"/>
      <c r="LV2" s="40"/>
      <c r="LW2" s="40"/>
      <c r="LX2" s="40"/>
      <c r="LY2" s="40"/>
      <c r="LZ2" s="40"/>
      <c r="MA2" s="40"/>
      <c r="MB2" s="40"/>
      <c r="MC2" s="40"/>
      <c r="MD2" s="40"/>
      <c r="ME2" s="40"/>
      <c r="MF2" s="40"/>
      <c r="MG2" s="40"/>
      <c r="MH2" s="40"/>
      <c r="MI2" s="40"/>
      <c r="MJ2" s="40"/>
      <c r="MK2" s="40"/>
      <c r="ML2" s="40"/>
      <c r="MM2" s="40"/>
      <c r="MN2" s="40"/>
      <c r="MO2" s="40"/>
      <c r="MP2" s="40"/>
      <c r="MQ2" s="40"/>
      <c r="MR2" s="40"/>
      <c r="MS2" s="40"/>
      <c r="MT2" s="40"/>
      <c r="MU2" s="40"/>
      <c r="MV2" s="40"/>
      <c r="MW2" s="40"/>
      <c r="MX2" s="40"/>
      <c r="MY2" s="40"/>
      <c r="MZ2" s="40"/>
      <c r="NA2" s="40"/>
      <c r="NB2" s="40"/>
      <c r="NC2" s="40"/>
      <c r="ND2" s="40"/>
      <c r="NE2" s="40"/>
      <c r="NF2" s="40"/>
      <c r="NG2" s="40"/>
      <c r="NH2" s="40"/>
      <c r="NI2" s="40"/>
      <c r="NJ2" s="40"/>
      <c r="NK2" s="40"/>
      <c r="NL2" s="40"/>
      <c r="NM2" s="40"/>
      <c r="NN2" s="40"/>
      <c r="NO2" s="40"/>
      <c r="NP2" s="40"/>
      <c r="NQ2" s="40"/>
      <c r="NR2" s="40"/>
      <c r="NS2" s="40"/>
      <c r="NT2" s="40"/>
      <c r="NU2" s="40"/>
      <c r="NV2" s="40"/>
      <c r="NW2" s="40"/>
      <c r="NX2" s="40"/>
      <c r="NY2" s="40"/>
      <c r="NZ2" s="40"/>
      <c r="OA2" s="40"/>
      <c r="OB2" s="40"/>
      <c r="OC2" s="40"/>
      <c r="OD2" s="40"/>
      <c r="OE2" s="40"/>
      <c r="OF2" s="40"/>
      <c r="OG2" s="40"/>
      <c r="OH2" s="40"/>
      <c r="OI2" s="40"/>
      <c r="OJ2" s="40"/>
      <c r="OK2" s="40"/>
      <c r="OL2" s="40"/>
      <c r="OM2" s="40"/>
      <c r="ON2" s="40"/>
      <c r="OO2" s="40"/>
      <c r="OP2" s="40"/>
      <c r="OQ2" s="40"/>
      <c r="OR2" s="40"/>
      <c r="OS2" s="40"/>
      <c r="OT2" s="40"/>
      <c r="OU2" s="40"/>
      <c r="OV2" s="40"/>
      <c r="OW2" s="40"/>
      <c r="OX2" s="40"/>
      <c r="OY2" s="40"/>
      <c r="OZ2" s="40"/>
      <c r="PA2" s="40"/>
      <c r="PB2" s="40"/>
      <c r="PC2" s="40"/>
      <c r="PD2" s="40"/>
      <c r="PE2" s="40"/>
      <c r="PF2" s="40"/>
      <c r="PG2" s="40"/>
      <c r="PH2" s="40"/>
      <c r="PI2" s="40"/>
      <c r="PJ2" s="40"/>
      <c r="PK2" s="40"/>
      <c r="PL2" s="40"/>
      <c r="PM2" s="40"/>
      <c r="PN2" s="40"/>
      <c r="PO2" s="40"/>
      <c r="PP2" s="40"/>
      <c r="PQ2" s="40"/>
      <c r="PR2" s="40"/>
      <c r="PS2" s="40"/>
      <c r="PT2" s="40"/>
      <c r="PU2" s="40"/>
      <c r="PV2" s="40"/>
      <c r="PW2" s="40"/>
      <c r="PX2" s="40"/>
      <c r="PY2" s="40"/>
      <c r="PZ2" s="40"/>
      <c r="QA2" s="40"/>
      <c r="QB2" s="40"/>
      <c r="QC2" s="40"/>
      <c r="QD2" s="40"/>
      <c r="QE2" s="40"/>
      <c r="QF2" s="40"/>
      <c r="QG2" s="40"/>
      <c r="QH2" s="40"/>
      <c r="QI2" s="40"/>
      <c r="QJ2" s="40"/>
      <c r="QK2" s="40"/>
      <c r="QL2" s="40"/>
      <c r="QM2" s="40"/>
      <c r="QN2" s="40"/>
      <c r="QO2" s="40"/>
      <c r="QP2" s="40"/>
      <c r="QQ2" s="40"/>
      <c r="QR2" s="40"/>
      <c r="QS2" s="40"/>
      <c r="QT2" s="40"/>
      <c r="QU2" s="40"/>
      <c r="QV2" s="40"/>
      <c r="QW2" s="40"/>
      <c r="QX2" s="40"/>
      <c r="QY2" s="40"/>
      <c r="QZ2" s="40"/>
      <c r="RA2" s="40"/>
      <c r="RB2" s="40"/>
      <c r="RC2" s="40"/>
      <c r="RD2" s="40"/>
      <c r="RE2" s="40"/>
      <c r="RF2" s="40"/>
      <c r="RG2" s="40"/>
      <c r="RH2" s="40"/>
      <c r="RI2" s="40"/>
      <c r="RJ2" s="40"/>
      <c r="RK2" s="40"/>
      <c r="RL2" s="40"/>
      <c r="RM2" s="40"/>
      <c r="RN2" s="40"/>
      <c r="RO2" s="40"/>
      <c r="RP2" s="40"/>
      <c r="RQ2" s="40"/>
      <c r="RR2" s="40"/>
      <c r="RS2" s="40"/>
      <c r="RT2" s="40"/>
      <c r="RU2" s="40"/>
      <c r="RV2" s="40"/>
      <c r="RW2" s="40"/>
      <c r="RX2" s="40"/>
      <c r="RY2" s="40"/>
      <c r="RZ2" s="40"/>
      <c r="SA2" s="40"/>
      <c r="SB2" s="40"/>
      <c r="SC2" s="40"/>
      <c r="SD2" s="40"/>
      <c r="SE2" s="40"/>
      <c r="SF2" s="40"/>
      <c r="SG2" s="40"/>
      <c r="SH2" s="40"/>
      <c r="SI2" s="40"/>
      <c r="SJ2" s="40"/>
      <c r="SK2" s="40"/>
      <c r="SL2" s="40"/>
      <c r="SM2" s="40"/>
      <c r="SN2" s="40"/>
      <c r="SO2" s="40"/>
      <c r="SP2" s="40"/>
      <c r="SQ2" s="40"/>
      <c r="SR2" s="40"/>
      <c r="SS2" s="40"/>
      <c r="ST2" s="40"/>
      <c r="SU2" s="40"/>
      <c r="SV2" s="40"/>
      <c r="SW2" s="40"/>
      <c r="SX2" s="40"/>
      <c r="SY2" s="40"/>
      <c r="SZ2" s="40"/>
      <c r="TA2" s="40"/>
      <c r="TB2" s="40"/>
      <c r="TC2" s="40"/>
      <c r="TD2" s="40"/>
      <c r="TE2" s="40"/>
      <c r="TF2" s="40"/>
      <c r="TG2" s="40"/>
      <c r="TH2" s="40"/>
      <c r="TI2" s="40"/>
      <c r="TJ2" s="40"/>
      <c r="TK2" s="40"/>
      <c r="TL2" s="40"/>
      <c r="TM2" s="40"/>
      <c r="TN2" s="40"/>
      <c r="TO2" s="40"/>
      <c r="TP2" s="40"/>
      <c r="TQ2" s="40"/>
      <c r="TR2" s="40"/>
      <c r="TS2" s="40"/>
      <c r="TT2" s="40"/>
      <c r="TU2" s="40"/>
      <c r="TV2" s="40"/>
      <c r="TW2" s="40"/>
      <c r="TX2" s="40"/>
      <c r="TY2" s="40"/>
      <c r="TZ2" s="40"/>
      <c r="UA2" s="40"/>
      <c r="UB2" s="40"/>
      <c r="UC2" s="40"/>
      <c r="UD2" s="40"/>
      <c r="UE2" s="40"/>
      <c r="UF2" s="40"/>
      <c r="UG2" s="40"/>
      <c r="UH2" s="40"/>
      <c r="UI2" s="40"/>
      <c r="UJ2" s="40"/>
      <c r="UK2" s="40"/>
      <c r="UL2" s="40"/>
      <c r="UM2" s="40"/>
      <c r="UN2" s="40"/>
      <c r="UO2" s="40"/>
      <c r="UP2" s="40"/>
      <c r="UQ2" s="40"/>
      <c r="UR2" s="40"/>
      <c r="US2" s="40"/>
      <c r="UT2" s="40"/>
      <c r="UU2" s="40"/>
      <c r="UV2" s="40"/>
      <c r="UW2" s="40"/>
      <c r="UX2" s="40"/>
      <c r="UY2" s="40"/>
      <c r="UZ2" s="40"/>
      <c r="VA2" s="40"/>
      <c r="VB2" s="40"/>
      <c r="VC2" s="40"/>
      <c r="VD2" s="40"/>
      <c r="VE2" s="40"/>
      <c r="VF2" s="40"/>
      <c r="VG2" s="40"/>
      <c r="VH2" s="40"/>
      <c r="VI2" s="40"/>
      <c r="VJ2" s="40"/>
      <c r="VK2" s="40"/>
      <c r="VL2" s="40"/>
      <c r="VM2" s="40"/>
      <c r="VN2" s="40"/>
      <c r="VO2" s="40"/>
      <c r="VP2" s="40"/>
      <c r="VQ2" s="40"/>
      <c r="VR2" s="40"/>
      <c r="VS2" s="40"/>
      <c r="VT2" s="40"/>
      <c r="VU2" s="40"/>
      <c r="VV2" s="40"/>
      <c r="VW2" s="40"/>
      <c r="VX2" s="40"/>
      <c r="VY2" s="40"/>
      <c r="VZ2" s="40"/>
      <c r="WA2" s="40"/>
      <c r="WB2" s="40"/>
      <c r="WC2" s="40"/>
      <c r="WD2" s="40"/>
      <c r="WE2" s="40"/>
      <c r="WF2" s="40"/>
      <c r="WG2" s="40"/>
      <c r="WH2" s="40"/>
      <c r="WI2" s="40"/>
      <c r="WJ2" s="40"/>
      <c r="WK2" s="40"/>
      <c r="WL2" s="40"/>
      <c r="WM2" s="40"/>
      <c r="WN2" s="40"/>
      <c r="WO2" s="40"/>
      <c r="WP2" s="40"/>
      <c r="WQ2" s="40"/>
      <c r="WR2" s="40"/>
      <c r="WS2" s="40"/>
      <c r="WT2" s="40"/>
      <c r="WU2" s="40"/>
      <c r="WV2" s="40"/>
      <c r="WW2" s="40"/>
      <c r="WX2" s="40"/>
      <c r="WY2" s="40"/>
      <c r="WZ2" s="40"/>
      <c r="XA2" s="40"/>
      <c r="XB2" s="40"/>
      <c r="XC2" s="40"/>
      <c r="XD2" s="40"/>
      <c r="XE2" s="40"/>
      <c r="XF2" s="40"/>
      <c r="XG2" s="40"/>
      <c r="XH2" s="40"/>
      <c r="XI2" s="40"/>
      <c r="XJ2" s="40"/>
      <c r="XK2" s="40"/>
      <c r="XL2" s="40"/>
      <c r="XM2" s="40"/>
      <c r="XN2" s="40"/>
      <c r="XO2" s="40"/>
      <c r="XP2" s="40"/>
      <c r="XQ2" s="40"/>
      <c r="XR2" s="40"/>
      <c r="XS2" s="40"/>
      <c r="XT2" s="40"/>
      <c r="XU2" s="40"/>
      <c r="XV2" s="40"/>
      <c r="XW2" s="40"/>
      <c r="XX2" s="40"/>
      <c r="XY2" s="40"/>
      <c r="XZ2" s="40"/>
      <c r="YA2" s="40"/>
      <c r="YB2" s="40"/>
      <c r="YC2" s="40"/>
      <c r="YD2" s="40"/>
      <c r="YE2" s="40"/>
      <c r="YF2" s="40"/>
      <c r="YG2" s="40"/>
      <c r="YH2" s="40"/>
      <c r="YI2" s="40"/>
      <c r="YJ2" s="40"/>
      <c r="YK2" s="40"/>
      <c r="YL2" s="40"/>
      <c r="YM2" s="40"/>
      <c r="YN2" s="40"/>
      <c r="YO2" s="40"/>
      <c r="YP2" s="40"/>
      <c r="YQ2" s="40"/>
      <c r="YR2" s="40"/>
      <c r="YS2" s="40"/>
      <c r="YT2" s="40"/>
      <c r="YU2" s="40"/>
      <c r="YV2" s="40"/>
      <c r="YW2" s="40"/>
      <c r="YX2" s="40"/>
      <c r="YY2" s="40"/>
      <c r="YZ2" s="40"/>
      <c r="ZA2" s="40"/>
      <c r="ZB2" s="40"/>
      <c r="ZC2" s="40"/>
      <c r="ZD2" s="40"/>
      <c r="ZE2" s="40"/>
      <c r="ZF2" s="40"/>
      <c r="ZG2" s="40"/>
      <c r="ZH2" s="40"/>
      <c r="ZI2" s="40"/>
      <c r="ZJ2" s="40"/>
      <c r="ZK2" s="40"/>
      <c r="ZL2" s="40"/>
      <c r="ZM2" s="40"/>
      <c r="ZN2" s="40"/>
      <c r="ZO2" s="40"/>
      <c r="ZP2" s="40"/>
      <c r="ZQ2" s="40"/>
      <c r="ZR2" s="40"/>
      <c r="ZS2" s="40"/>
      <c r="ZT2" s="40"/>
      <c r="ZU2" s="40"/>
      <c r="ZV2" s="40"/>
      <c r="ZW2" s="40"/>
      <c r="ZX2" s="40"/>
      <c r="ZY2" s="40"/>
      <c r="ZZ2" s="40"/>
      <c r="AAA2" s="40"/>
      <c r="AAB2" s="40"/>
      <c r="AAC2" s="40"/>
      <c r="AAD2" s="40"/>
      <c r="AAE2" s="40"/>
      <c r="AAF2" s="40"/>
      <c r="AAG2" s="40"/>
      <c r="AAH2" s="40"/>
      <c r="AAI2" s="40"/>
      <c r="AAJ2" s="40"/>
      <c r="AAK2" s="40"/>
      <c r="AAL2" s="40"/>
      <c r="AAM2" s="40"/>
      <c r="AAN2" s="40"/>
      <c r="AAO2" s="40"/>
      <c r="AAP2" s="40"/>
      <c r="AAQ2" s="40"/>
      <c r="AAR2" s="40"/>
      <c r="AAS2" s="40"/>
      <c r="AAT2" s="40"/>
      <c r="AAU2" s="40"/>
      <c r="AAV2" s="40"/>
      <c r="AAW2" s="40"/>
      <c r="AAX2" s="40"/>
      <c r="AAY2" s="40"/>
      <c r="AAZ2" s="40"/>
      <c r="ABA2" s="40"/>
      <c r="ABB2" s="40"/>
      <c r="ABC2" s="40"/>
      <c r="ABD2" s="40"/>
      <c r="ABE2" s="40"/>
      <c r="ABF2" s="40"/>
      <c r="ABG2" s="40"/>
      <c r="ABH2" s="40"/>
      <c r="ABI2" s="40"/>
      <c r="ABJ2" s="40"/>
      <c r="ABK2" s="40"/>
      <c r="ABL2" s="40"/>
      <c r="ABM2" s="40"/>
      <c r="ABN2" s="40"/>
      <c r="ABO2" s="40"/>
      <c r="ABP2" s="40"/>
      <c r="ABQ2" s="40"/>
      <c r="ABR2" s="40"/>
      <c r="ABS2" s="40"/>
      <c r="ABT2" s="40"/>
      <c r="ABU2" s="40"/>
      <c r="ABV2" s="40"/>
      <c r="ABW2" s="40"/>
      <c r="ABX2" s="40"/>
      <c r="ABY2" s="40"/>
      <c r="ABZ2" s="40"/>
      <c r="ACA2" s="40"/>
      <c r="ACB2" s="40"/>
      <c r="ACC2" s="40"/>
      <c r="ACD2" s="40"/>
      <c r="ACE2" s="40"/>
      <c r="ACF2" s="40"/>
      <c r="ACG2" s="40"/>
      <c r="ACH2" s="40"/>
      <c r="ACI2" s="40"/>
      <c r="ACJ2" s="40"/>
      <c r="ACK2" s="40"/>
      <c r="ACL2" s="40"/>
      <c r="ACM2" s="40"/>
      <c r="ACN2" s="40"/>
      <c r="ACO2" s="40"/>
      <c r="ACP2" s="40"/>
      <c r="ACQ2" s="40"/>
      <c r="ACR2" s="40"/>
      <c r="ACS2" s="40"/>
      <c r="ACT2" s="40"/>
      <c r="ACU2" s="40"/>
      <c r="ACV2" s="40"/>
      <c r="ACW2" s="40"/>
      <c r="ACX2" s="40"/>
      <c r="ACY2" s="40"/>
      <c r="ACZ2" s="40"/>
      <c r="ADA2" s="40"/>
      <c r="ADB2" s="40"/>
      <c r="ADC2" s="40"/>
      <c r="ADD2" s="40"/>
      <c r="ADE2" s="40"/>
      <c r="ADF2" s="40"/>
      <c r="ADG2" s="40"/>
      <c r="ADH2" s="40"/>
      <c r="ADI2" s="40"/>
      <c r="ADJ2" s="40"/>
      <c r="ADK2" s="40"/>
      <c r="ADL2" s="40"/>
      <c r="ADM2" s="40"/>
      <c r="ADN2" s="40"/>
      <c r="ADO2" s="40"/>
      <c r="ADP2" s="40"/>
      <c r="ADQ2" s="40"/>
      <c r="ADR2" s="40"/>
      <c r="ADS2" s="40"/>
      <c r="ADT2" s="40"/>
      <c r="ADU2" s="40"/>
      <c r="ADV2" s="40"/>
      <c r="ADW2" s="40"/>
      <c r="ADX2" s="40"/>
      <c r="ADY2" s="40"/>
      <c r="ADZ2" s="40"/>
      <c r="AEA2" s="40"/>
      <c r="AEB2" s="40"/>
      <c r="AEC2" s="40"/>
      <c r="AED2" s="40"/>
      <c r="AEE2" s="40"/>
      <c r="AEF2" s="40"/>
      <c r="AEG2" s="40"/>
      <c r="AEH2" s="40"/>
      <c r="AEI2" s="40"/>
      <c r="AEJ2" s="40"/>
      <c r="AEK2" s="40"/>
      <c r="AEL2" s="40"/>
      <c r="AEM2" s="40"/>
      <c r="AEN2" s="40"/>
      <c r="AEO2" s="40"/>
      <c r="AEP2" s="40"/>
      <c r="AEQ2" s="40"/>
      <c r="AER2" s="40"/>
      <c r="AES2" s="40"/>
      <c r="AET2" s="40"/>
      <c r="AEU2" s="40"/>
      <c r="AEV2" s="40"/>
      <c r="AEW2" s="40"/>
      <c r="AEX2" s="40"/>
      <c r="AEY2" s="40"/>
      <c r="AEZ2" s="40"/>
      <c r="AFA2" s="40"/>
      <c r="AFB2" s="40"/>
      <c r="AFC2" s="40"/>
      <c r="AFD2" s="40"/>
      <c r="AFE2" s="40"/>
      <c r="AFF2" s="40"/>
      <c r="AFG2" s="40"/>
      <c r="AFH2" s="40"/>
      <c r="AFI2" s="40"/>
      <c r="AFJ2" s="40"/>
      <c r="AFK2" s="40"/>
      <c r="AFL2" s="40"/>
      <c r="AFM2" s="40"/>
      <c r="AFN2" s="40"/>
      <c r="AFO2" s="40"/>
      <c r="AFP2" s="40"/>
      <c r="AFQ2" s="40"/>
      <c r="AFR2" s="40"/>
      <c r="AFS2" s="40"/>
      <c r="AFT2" s="40"/>
      <c r="AFU2" s="40"/>
      <c r="AFV2" s="40"/>
      <c r="AFW2" s="40"/>
      <c r="AFX2" s="40"/>
      <c r="AFY2" s="40"/>
      <c r="AFZ2" s="40"/>
      <c r="AGA2" s="40"/>
      <c r="AGB2" s="40"/>
      <c r="AGC2" s="40"/>
      <c r="AGD2" s="40"/>
      <c r="AGE2" s="40"/>
      <c r="AGF2" s="40"/>
      <c r="AGG2" s="40"/>
      <c r="AGH2" s="40"/>
      <c r="AGI2" s="40"/>
      <c r="AGJ2" s="40"/>
      <c r="AGK2" s="40"/>
      <c r="AGL2" s="40"/>
      <c r="AGM2" s="40"/>
      <c r="AGN2" s="40"/>
      <c r="AGO2" s="40"/>
      <c r="AGP2" s="40"/>
      <c r="AGQ2" s="40"/>
      <c r="AGR2" s="40"/>
      <c r="AGS2" s="40"/>
      <c r="AGT2" s="40"/>
      <c r="AGU2" s="40"/>
      <c r="AGV2" s="40"/>
      <c r="AGW2" s="40"/>
      <c r="AGX2" s="40"/>
      <c r="AGY2" s="40"/>
      <c r="AGZ2" s="40"/>
      <c r="AHA2" s="40"/>
      <c r="AHB2" s="40"/>
      <c r="AHC2" s="40"/>
      <c r="AHD2" s="40"/>
      <c r="AHE2" s="40"/>
      <c r="AHF2" s="40"/>
      <c r="AHG2" s="40"/>
      <c r="AHH2" s="40"/>
      <c r="AHI2" s="40"/>
      <c r="AHJ2" s="40"/>
      <c r="AHK2" s="40"/>
      <c r="AHL2" s="40"/>
      <c r="AHM2" s="40"/>
      <c r="AHN2" s="40"/>
      <c r="AHO2" s="40"/>
      <c r="AHP2" s="40"/>
      <c r="AHQ2" s="40"/>
      <c r="AHR2" s="40"/>
      <c r="AHS2" s="40"/>
      <c r="AHT2" s="40"/>
      <c r="AHU2" s="40"/>
      <c r="AHV2" s="40"/>
      <c r="AHW2" s="40"/>
      <c r="AHX2" s="40"/>
      <c r="AHY2" s="40"/>
      <c r="AHZ2" s="40"/>
      <c r="AIA2" s="40"/>
      <c r="AIB2" s="40"/>
      <c r="AIC2" s="40"/>
      <c r="AID2" s="40"/>
      <c r="AIE2" s="40"/>
      <c r="AIF2" s="40"/>
      <c r="AIG2" s="40"/>
      <c r="AIH2" s="40"/>
      <c r="AII2" s="40"/>
      <c r="AIJ2" s="40"/>
      <c r="AIK2" s="40"/>
      <c r="AIL2" s="40"/>
      <c r="AIM2" s="40"/>
      <c r="AIN2" s="40"/>
      <c r="AIO2" s="40"/>
      <c r="AIP2" s="40"/>
      <c r="AIQ2" s="40"/>
      <c r="AIR2" s="40"/>
      <c r="AIS2" s="40"/>
      <c r="AIT2" s="40"/>
      <c r="AIU2" s="40"/>
      <c r="AIV2" s="40"/>
      <c r="AIW2" s="40"/>
      <c r="AIX2" s="40"/>
      <c r="AIY2" s="40"/>
      <c r="AIZ2" s="40"/>
      <c r="AJA2" s="40"/>
      <c r="AJB2" s="40"/>
      <c r="AJC2" s="40"/>
      <c r="AJD2" s="40"/>
      <c r="AJE2" s="40"/>
      <c r="AJF2" s="40"/>
      <c r="AJG2" s="40"/>
      <c r="AJH2" s="40"/>
      <c r="AJI2" s="40"/>
      <c r="AJJ2" s="40"/>
      <c r="AJK2" s="40"/>
      <c r="AJL2" s="40"/>
      <c r="AJM2" s="40"/>
      <c r="AJN2" s="40"/>
      <c r="AJO2" s="40"/>
      <c r="AJP2" s="40"/>
      <c r="AJQ2" s="40"/>
      <c r="AJR2" s="40"/>
      <c r="AJS2" s="40"/>
      <c r="AJT2" s="40"/>
      <c r="AJU2" s="40"/>
      <c r="AJV2" s="40"/>
      <c r="AJW2" s="40"/>
      <c r="AJX2" s="40"/>
      <c r="AJY2" s="40"/>
      <c r="AJZ2" s="40"/>
      <c r="AKA2" s="40"/>
      <c r="AKB2" s="40"/>
      <c r="AKC2" s="40"/>
      <c r="AKD2" s="40"/>
      <c r="AKE2" s="40"/>
      <c r="AKF2" s="40"/>
      <c r="AKG2" s="40"/>
      <c r="AKH2" s="40"/>
      <c r="AKI2" s="40"/>
      <c r="AKJ2" s="40"/>
      <c r="AKK2" s="40"/>
      <c r="AKL2" s="40"/>
      <c r="AKM2" s="40"/>
      <c r="AKN2" s="40"/>
      <c r="AKO2" s="40"/>
      <c r="AKP2" s="40"/>
      <c r="AKQ2" s="40"/>
      <c r="AKR2" s="40"/>
      <c r="AKS2" s="40"/>
      <c r="AKT2" s="40"/>
      <c r="AKU2" s="40"/>
      <c r="AKV2" s="40"/>
      <c r="AKW2" s="40"/>
      <c r="AKX2" s="40"/>
      <c r="AKY2" s="40"/>
      <c r="AKZ2" s="40"/>
      <c r="ALA2" s="40"/>
      <c r="ALB2" s="40"/>
      <c r="ALC2" s="40"/>
      <c r="ALD2" s="40"/>
      <c r="ALE2" s="40"/>
      <c r="ALF2" s="40"/>
      <c r="ALG2" s="40"/>
      <c r="ALH2" s="40"/>
      <c r="ALI2" s="40"/>
      <c r="ALJ2" s="40"/>
      <c r="ALK2" s="40"/>
      <c r="ALL2" s="40"/>
      <c r="ALM2" s="40"/>
      <c r="ALN2" s="40"/>
      <c r="ALO2" s="40"/>
      <c r="ALP2" s="40"/>
      <c r="ALQ2" s="40"/>
      <c r="ALR2" s="40"/>
      <c r="ALS2" s="40"/>
      <c r="ALT2" s="40"/>
      <c r="ALU2" s="40"/>
      <c r="ALV2" s="40"/>
      <c r="ALW2" s="40"/>
      <c r="ALX2" s="40"/>
      <c r="ALY2" s="40"/>
      <c r="ALZ2" s="40"/>
      <c r="AMA2" s="40"/>
      <c r="AMB2" s="40"/>
      <c r="AMC2" s="40"/>
      <c r="AMD2" s="40"/>
      <c r="AME2" s="40"/>
      <c r="AMF2" s="40"/>
      <c r="AMG2" s="40"/>
      <c r="AMH2" s="40"/>
      <c r="AMI2" s="40"/>
      <c r="AMJ2" s="40"/>
    </row>
    <row r="3" spans="1:1024" ht="13.2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</row>
    <row r="4" spans="1:1024" ht="13.2">
      <c r="A4" s="2"/>
      <c r="B4" s="2"/>
      <c r="C4" s="2"/>
      <c r="D4" s="2"/>
      <c r="E4" s="2"/>
      <c r="F4" s="5"/>
      <c r="G4" s="2"/>
      <c r="H4" s="2"/>
      <c r="I4" s="2"/>
      <c r="J4" s="2"/>
      <c r="K4" s="2"/>
      <c r="L4" s="2"/>
      <c r="M4" s="2"/>
      <c r="N4" s="2"/>
    </row>
    <row r="5" spans="1:1024" ht="13.2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</row>
    <row r="6" spans="1:1024" ht="13.2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</row>
    <row r="7" spans="1:1024" ht="13.2">
      <c r="A7" s="2"/>
      <c r="B7" s="2"/>
      <c r="C7" s="2"/>
      <c r="D7" s="2"/>
      <c r="E7" s="2"/>
      <c r="F7" s="63"/>
      <c r="G7" s="2"/>
      <c r="H7" s="2"/>
      <c r="I7" s="2"/>
      <c r="J7" s="2"/>
      <c r="K7" s="2"/>
      <c r="L7" s="2"/>
      <c r="M7" s="2"/>
      <c r="N7" s="2"/>
    </row>
    <row r="8" spans="1:1024" ht="13.2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</row>
    <row r="9" spans="1:1024" ht="13.2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</row>
    <row r="10" spans="1:1024" ht="13.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</row>
    <row r="11" spans="1:1024" ht="13.2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</row>
    <row r="12" spans="1:1024" ht="13.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</row>
    <row r="13" spans="1:1024" ht="13.2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</row>
    <row r="14" spans="1:1024" ht="13.2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</row>
    <row r="15" spans="1:1024" ht="13.2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</row>
    <row r="16" spans="1:1024" ht="13.2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</row>
    <row r="17" spans="1:14" ht="13.2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</row>
    <row r="18" spans="1:14" ht="13.2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</row>
    <row r="19" spans="1:14" ht="13.2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</row>
    <row r="20" spans="1:14" ht="13.2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</row>
    <row r="21" spans="1:14" ht="13.2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</row>
    <row r="22" spans="1:14" ht="13.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</row>
    <row r="23" spans="1:14" ht="13.2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</row>
    <row r="24" spans="1:14" ht="13.2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</row>
    <row r="25" spans="1:14" ht="13.2">
      <c r="A25" s="2"/>
      <c r="B25" s="3"/>
      <c r="C25" s="3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</row>
    <row r="26" spans="1:14" ht="13.2">
      <c r="A26" s="2"/>
      <c r="B26" s="3"/>
      <c r="C26" s="3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</row>
    <row r="27" spans="1:14" ht="13.2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</row>
    <row r="28" spans="1:14" ht="12.7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</row>
    <row r="29" spans="1:14" ht="12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</row>
    <row r="30" spans="1:14" ht="12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</row>
    <row r="31" spans="1:14" ht="12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</row>
    <row r="32" spans="1:14" ht="12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</row>
    <row r="33" spans="1:14" ht="12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</row>
    <row r="34" spans="1:14" ht="12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</row>
    <row r="35" spans="1:14" ht="12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</row>
    <row r="36" spans="1:14" ht="12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</row>
    <row r="37" spans="1:14" ht="12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</row>
    <row r="38" spans="1:14" ht="12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</row>
    <row r="39" spans="1:14" ht="12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</row>
    <row r="40" spans="1:14" ht="12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</row>
    <row r="41" spans="1:14" ht="12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</row>
    <row r="42" spans="1:14" ht="12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</row>
    <row r="43" spans="1:14" ht="12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</row>
    <row r="44" spans="1:14" ht="12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</row>
    <row r="45" spans="1:14" ht="12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</row>
    <row r="46" spans="1:14" ht="12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</row>
    <row r="47" spans="1:14" ht="12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</row>
  </sheetData>
  <printOptions horizontalCentered="1"/>
  <pageMargins left="0.78749999999999998" right="0.78749999999999998" top="0.78749999999999998" bottom="1.0249999999999999" header="0.511811023622047" footer="0.78749999999999998"/>
  <pageSetup orientation="portrait" horizontalDpi="300" verticalDpi="300"/>
  <headerFooter>
    <oddFooter>&amp;C&amp;K000000Seite &amp;Kffffff&amp;P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Planilha6"/>
  <dimension ref="A1:L27"/>
  <sheetViews>
    <sheetView zoomScaleNormal="100" workbookViewId="0">
      <selection activeCell="D2" sqref="D2"/>
    </sheetView>
  </sheetViews>
  <sheetFormatPr defaultColWidth="13.21875" defaultRowHeight="12.75" customHeight="1"/>
  <cols>
    <col min="1" max="16384" width="13.21875" style="4"/>
  </cols>
  <sheetData>
    <row r="1" spans="1:12" ht="13.2">
      <c r="A1" s="55" t="s">
        <v>17</v>
      </c>
      <c r="B1" s="55" t="s">
        <v>18</v>
      </c>
      <c r="C1" s="55"/>
      <c r="D1" s="55" t="s">
        <v>19</v>
      </c>
      <c r="E1" s="55"/>
      <c r="F1" s="55" t="s">
        <v>20</v>
      </c>
      <c r="G1" s="55"/>
      <c r="H1" s="55"/>
      <c r="I1" s="55"/>
      <c r="J1" s="55"/>
      <c r="K1" s="55"/>
      <c r="L1" s="55" t="s">
        <v>21</v>
      </c>
    </row>
    <row r="2" spans="1:12" ht="13.2">
      <c r="A2" s="55">
        <v>5300</v>
      </c>
      <c r="B2" s="55" t="s">
        <v>22</v>
      </c>
      <c r="C2" s="55"/>
      <c r="D2" s="55">
        <v>2321</v>
      </c>
      <c r="E2" s="55"/>
      <c r="F2" s="55" t="s">
        <v>23</v>
      </c>
      <c r="G2" s="55"/>
      <c r="H2" s="55"/>
      <c r="I2" s="55"/>
      <c r="J2" s="55"/>
      <c r="K2" s="55"/>
      <c r="L2" s="55">
        <v>29000</v>
      </c>
    </row>
    <row r="3" spans="1:12" ht="13.2">
      <c r="A3" s="62"/>
      <c r="B3" s="62"/>
      <c r="F3" s="55" t="s">
        <v>24</v>
      </c>
      <c r="G3" s="55"/>
      <c r="H3" s="55"/>
      <c r="I3" s="55"/>
      <c r="J3" s="55"/>
    </row>
    <row r="4" spans="1:12" ht="13.2">
      <c r="A4" s="62"/>
      <c r="F4" s="55" t="s">
        <v>25</v>
      </c>
      <c r="G4" s="55"/>
      <c r="H4" s="55"/>
      <c r="I4" s="55"/>
      <c r="J4" s="55"/>
    </row>
    <row r="5" spans="1:12" ht="12.75" customHeight="1">
      <c r="D5" s="62"/>
    </row>
    <row r="6" spans="1:12" ht="13.2">
      <c r="A6" s="62"/>
      <c r="E6" s="6"/>
      <c r="F6" s="7"/>
      <c r="G6" s="7"/>
      <c r="H6" s="7"/>
      <c r="I6" s="7"/>
      <c r="J6" s="7"/>
      <c r="K6" s="8"/>
    </row>
    <row r="7" spans="1:12" ht="13.2">
      <c r="A7" s="6"/>
      <c r="B7" s="7" t="s">
        <v>26</v>
      </c>
      <c r="C7" s="8" t="s">
        <v>118</v>
      </c>
      <c r="E7" s="9"/>
      <c r="K7" s="10"/>
    </row>
    <row r="8" spans="1:12" ht="13.2">
      <c r="A8" s="51" t="s">
        <v>27</v>
      </c>
      <c r="B8" s="52">
        <v>5000</v>
      </c>
      <c r="C8" s="53">
        <v>2321</v>
      </c>
      <c r="E8" s="9"/>
      <c r="K8" s="10"/>
    </row>
    <row r="9" spans="1:12" ht="13.2">
      <c r="A9" s="49" t="s">
        <v>28</v>
      </c>
      <c r="B9" s="50">
        <v>10000</v>
      </c>
      <c r="C9" s="53">
        <v>2321</v>
      </c>
      <c r="E9" s="9"/>
      <c r="K9" s="10"/>
    </row>
    <row r="10" spans="1:12" ht="13.2">
      <c r="A10" s="54" t="s">
        <v>29</v>
      </c>
      <c r="B10" s="55">
        <v>15000</v>
      </c>
      <c r="C10" s="53">
        <v>2321</v>
      </c>
      <c r="E10" s="9"/>
      <c r="K10" s="10"/>
    </row>
    <row r="11" spans="1:12" ht="13.2">
      <c r="A11" s="54" t="s">
        <v>30</v>
      </c>
      <c r="B11" s="55">
        <v>20000</v>
      </c>
      <c r="C11" s="53">
        <v>2321</v>
      </c>
      <c r="E11" s="9"/>
      <c r="K11" s="10"/>
    </row>
    <row r="12" spans="1:12" ht="13.2">
      <c r="A12" s="54" t="s">
        <v>31</v>
      </c>
      <c r="B12" s="55">
        <v>30000</v>
      </c>
      <c r="C12" s="53">
        <v>2321</v>
      </c>
      <c r="E12" s="9"/>
      <c r="K12" s="10"/>
    </row>
    <row r="13" spans="1:12" ht="13.2">
      <c r="A13" s="54" t="s">
        <v>32</v>
      </c>
      <c r="B13" s="55">
        <v>35000</v>
      </c>
      <c r="C13" s="53">
        <v>2321</v>
      </c>
      <c r="E13" s="9"/>
      <c r="K13" s="10"/>
    </row>
    <row r="14" spans="1:12" ht="13.2">
      <c r="A14" s="54" t="s">
        <v>33</v>
      </c>
      <c r="B14" s="55">
        <v>40000</v>
      </c>
      <c r="C14" s="53">
        <v>2321</v>
      </c>
      <c r="E14" s="9"/>
      <c r="K14" s="10"/>
    </row>
    <row r="15" spans="1:12" ht="13.2">
      <c r="A15" s="54" t="s">
        <v>34</v>
      </c>
      <c r="B15" s="55">
        <v>45000</v>
      </c>
      <c r="C15" s="53">
        <v>2321</v>
      </c>
      <c r="E15" s="9"/>
      <c r="K15" s="10"/>
    </row>
    <row r="16" spans="1:12" ht="13.2">
      <c r="A16" s="56" t="s">
        <v>35</v>
      </c>
      <c r="B16" s="57">
        <v>50000</v>
      </c>
      <c r="C16" s="53">
        <v>2321</v>
      </c>
      <c r="E16" s="9"/>
      <c r="K16" s="10"/>
    </row>
    <row r="17" spans="1:11" ht="13.2">
      <c r="E17" s="9"/>
      <c r="K17" s="10"/>
    </row>
    <row r="18" spans="1:11" ht="13.2">
      <c r="E18" s="9"/>
      <c r="K18" s="10"/>
    </row>
    <row r="19" spans="1:11" ht="13.2">
      <c r="B19" s="13"/>
      <c r="E19" s="9"/>
      <c r="K19" s="10"/>
    </row>
    <row r="20" spans="1:11" ht="13.2">
      <c r="B20" s="13"/>
      <c r="E20" s="9"/>
      <c r="K20" s="10"/>
    </row>
    <row r="21" spans="1:11" ht="13.2">
      <c r="E21" s="9"/>
      <c r="K21" s="10"/>
    </row>
    <row r="22" spans="1:11" ht="13.2">
      <c r="A22" s="58" t="s">
        <v>36</v>
      </c>
      <c r="B22" s="59"/>
      <c r="C22" s="60">
        <v>0.05</v>
      </c>
      <c r="D22" s="61" t="s">
        <v>37</v>
      </c>
      <c r="E22" s="9"/>
      <c r="K22" s="10"/>
    </row>
    <row r="23" spans="1:11" ht="13.2">
      <c r="A23" s="58" t="s">
        <v>38</v>
      </c>
      <c r="B23" s="59"/>
      <c r="C23" s="60">
        <v>0.08</v>
      </c>
      <c r="D23" s="61" t="s">
        <v>39</v>
      </c>
      <c r="E23" s="9"/>
      <c r="K23" s="10"/>
    </row>
    <row r="24" spans="1:11" ht="13.2">
      <c r="A24" s="58" t="s">
        <v>40</v>
      </c>
      <c r="B24" s="59"/>
      <c r="C24" s="60">
        <v>0.15</v>
      </c>
      <c r="D24" s="61" t="s">
        <v>41</v>
      </c>
      <c r="E24" s="9"/>
      <c r="K24" s="10"/>
    </row>
    <row r="25" spans="1:11" ht="13.2">
      <c r="B25" s="14"/>
      <c r="C25" s="15"/>
      <c r="E25" s="9"/>
      <c r="K25" s="10"/>
    </row>
    <row r="26" spans="1:11" ht="13.2">
      <c r="B26" s="14"/>
      <c r="C26" s="15"/>
      <c r="E26" s="11"/>
      <c r="F26" s="12"/>
      <c r="G26" s="12"/>
      <c r="H26" s="12"/>
      <c r="I26" s="12"/>
      <c r="J26" s="12"/>
      <c r="K26" s="16"/>
    </row>
    <row r="27" spans="1:11" ht="13.2">
      <c r="B27" s="13"/>
      <c r="C27" s="15"/>
    </row>
  </sheetData>
  <printOptions horizontalCentered="1"/>
  <pageMargins left="0.78749999999999998" right="0.78749999999999998" top="0.78749999999999998" bottom="1.0249999999999999" header="0.511811023622047" footer="0.78749999999999998"/>
  <pageSetup orientation="portrait" horizontalDpi="300" verticalDpi="300" r:id="rId1"/>
  <headerFooter>
    <oddFooter>&amp;C&amp;K000000Seite &amp;Kffffff&amp;P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Planilha7"/>
  <dimension ref="A1:L21"/>
  <sheetViews>
    <sheetView zoomScaleNormal="100" workbookViewId="0">
      <selection activeCell="B11" sqref="B11"/>
    </sheetView>
  </sheetViews>
  <sheetFormatPr defaultColWidth="11.5546875" defaultRowHeight="12.75" customHeight="1"/>
  <cols>
    <col min="1" max="16384" width="11.5546875" style="2"/>
  </cols>
  <sheetData>
    <row r="1" spans="1:12">
      <c r="A1" s="17" t="s">
        <v>42</v>
      </c>
      <c r="B1" s="17" t="s">
        <v>43</v>
      </c>
      <c r="C1" s="17" t="s">
        <v>44</v>
      </c>
      <c r="D1" s="17" t="s">
        <v>45</v>
      </c>
      <c r="E1" s="17" t="s">
        <v>46</v>
      </c>
      <c r="F1" s="17" t="s">
        <v>47</v>
      </c>
      <c r="G1" s="17" t="s">
        <v>48</v>
      </c>
      <c r="J1" s="18" t="s">
        <v>49</v>
      </c>
      <c r="K1" s="1"/>
      <c r="L1" s="19"/>
    </row>
    <row r="2" spans="1:12">
      <c r="A2" s="20">
        <v>0.125</v>
      </c>
      <c r="B2" s="20">
        <v>1.125</v>
      </c>
      <c r="C2" s="21">
        <v>2.125</v>
      </c>
      <c r="D2" s="22">
        <v>3.125</v>
      </c>
      <c r="E2" s="23">
        <v>4.125</v>
      </c>
      <c r="F2" s="24">
        <v>5.125</v>
      </c>
      <c r="G2" s="25">
        <v>6.125</v>
      </c>
      <c r="J2" s="18" t="s">
        <v>50</v>
      </c>
      <c r="K2" s="1"/>
      <c r="L2" s="19"/>
    </row>
    <row r="3" spans="1:12">
      <c r="A3" s="26">
        <v>0.25</v>
      </c>
      <c r="B3" s="26">
        <v>1.25</v>
      </c>
      <c r="C3" s="26">
        <v>2.25</v>
      </c>
      <c r="D3" s="26">
        <v>3.25</v>
      </c>
      <c r="E3" s="23">
        <v>4.25</v>
      </c>
      <c r="F3" s="24">
        <v>5.25</v>
      </c>
      <c r="G3" s="25">
        <v>6.25</v>
      </c>
      <c r="J3" s="18"/>
      <c r="K3" s="1"/>
      <c r="L3" s="19"/>
    </row>
    <row r="4" spans="1:12">
      <c r="A4" s="20">
        <v>0.375</v>
      </c>
      <c r="B4" s="27">
        <v>1.375</v>
      </c>
      <c r="C4" s="21">
        <v>2.375</v>
      </c>
      <c r="D4" s="22">
        <v>3.375</v>
      </c>
      <c r="E4" s="23">
        <v>4.375</v>
      </c>
      <c r="F4" s="24">
        <v>5.375</v>
      </c>
      <c r="G4" s="25">
        <v>6.375</v>
      </c>
      <c r="J4" s="18" t="s">
        <v>51</v>
      </c>
      <c r="K4" s="1"/>
      <c r="L4" s="19"/>
    </row>
    <row r="5" spans="1:12">
      <c r="A5" s="28">
        <v>0.5</v>
      </c>
      <c r="B5" s="28">
        <v>1.5</v>
      </c>
      <c r="C5" s="28">
        <v>2.5</v>
      </c>
      <c r="D5" s="28">
        <v>3.5</v>
      </c>
      <c r="E5" s="28">
        <v>4.5</v>
      </c>
      <c r="F5" s="28">
        <v>5.5</v>
      </c>
      <c r="G5" s="28">
        <v>6.5</v>
      </c>
      <c r="J5" s="18"/>
      <c r="K5" s="1"/>
      <c r="L5" s="19"/>
    </row>
    <row r="6" spans="1:12">
      <c r="A6" s="20">
        <v>0.58333333333333304</v>
      </c>
      <c r="B6" s="20">
        <v>1.5833333333333299</v>
      </c>
      <c r="C6" s="21">
        <v>2.5833333333333299</v>
      </c>
      <c r="D6" s="22">
        <v>3.5833333333333299</v>
      </c>
      <c r="E6" s="23">
        <v>4.5833333333333304</v>
      </c>
      <c r="F6" s="24">
        <v>5.5833333333333304</v>
      </c>
      <c r="G6" s="25">
        <v>6.5833333333333304</v>
      </c>
      <c r="J6" s="18" t="s">
        <v>52</v>
      </c>
      <c r="K6" s="1"/>
      <c r="L6" s="19"/>
    </row>
    <row r="7" spans="1:12">
      <c r="A7" s="20">
        <v>0.75</v>
      </c>
      <c r="B7" s="28">
        <v>1.75</v>
      </c>
      <c r="C7" s="21">
        <v>2.75</v>
      </c>
      <c r="D7" s="22">
        <v>3.75</v>
      </c>
      <c r="E7" s="23">
        <v>4.75</v>
      </c>
      <c r="F7" s="24">
        <v>5.75</v>
      </c>
      <c r="G7" s="25">
        <v>6.75</v>
      </c>
    </row>
    <row r="8" spans="1:12">
      <c r="A8" s="20">
        <v>0.875</v>
      </c>
      <c r="B8" s="20">
        <v>1.875</v>
      </c>
      <c r="C8" s="21">
        <v>2.875</v>
      </c>
      <c r="D8" s="22">
        <v>3.875</v>
      </c>
      <c r="E8" s="23">
        <v>4.875</v>
      </c>
      <c r="F8" s="24">
        <v>5.875</v>
      </c>
      <c r="G8" s="25">
        <v>6.875</v>
      </c>
    </row>
    <row r="9" spans="1:12">
      <c r="A9" s="29">
        <v>0</v>
      </c>
      <c r="B9" s="20">
        <v>1</v>
      </c>
      <c r="C9" s="21">
        <v>2</v>
      </c>
      <c r="D9" s="22">
        <v>3</v>
      </c>
      <c r="E9" s="23">
        <v>4</v>
      </c>
      <c r="F9" s="24">
        <v>5</v>
      </c>
      <c r="G9" s="25">
        <v>6</v>
      </c>
    </row>
    <row r="15" spans="1:12">
      <c r="A15" s="73" t="s">
        <v>53</v>
      </c>
      <c r="B15" s="73"/>
      <c r="C15" s="73"/>
      <c r="D15" s="73"/>
      <c r="E15" s="73"/>
    </row>
    <row r="16" spans="1:12">
      <c r="A16" s="74" t="s">
        <v>54</v>
      </c>
      <c r="B16" s="74"/>
      <c r="C16" s="74"/>
    </row>
    <row r="17" spans="1:7">
      <c r="A17" s="30" t="s">
        <v>55</v>
      </c>
      <c r="B17" s="30"/>
      <c r="C17" s="30"/>
      <c r="D17" s="30"/>
    </row>
    <row r="21" spans="1:7">
      <c r="A21" s="75" t="s">
        <v>56</v>
      </c>
      <c r="B21" s="75"/>
      <c r="C21" s="75"/>
      <c r="D21" s="75"/>
      <c r="E21" s="75"/>
      <c r="F21" s="75"/>
      <c r="G21" s="75"/>
    </row>
  </sheetData>
  <mergeCells count="3">
    <mergeCell ref="A15:E15"/>
    <mergeCell ref="A16:C16"/>
    <mergeCell ref="A21:G21"/>
  </mergeCells>
  <pageMargins left="0.78749999999999998" right="0.78749999999999998" top="1.05277777777778" bottom="1.05277777777778" header="0.78749999999999998" footer="0.78749999999999998"/>
  <pageSetup paperSize="9" orientation="portrait" horizontalDpi="300" verticalDpi="300"/>
  <headerFooter>
    <oddHeader>&amp;C&amp;"Times New Roman,Regular"&amp;12&amp;A</oddHeader>
    <oddFooter>&amp;C&amp;"Times New Roman,Regular"&amp;12Página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Planilha8"/>
  <dimension ref="A1:D52"/>
  <sheetViews>
    <sheetView zoomScaleNormal="100" workbookViewId="0"/>
  </sheetViews>
  <sheetFormatPr defaultColWidth="13.21875" defaultRowHeight="12.75" customHeight="1"/>
  <cols>
    <col min="4" max="4" width="38.5546875" customWidth="1"/>
  </cols>
  <sheetData>
    <row r="1" spans="1:4" ht="13.2">
      <c r="A1" t="s">
        <v>57</v>
      </c>
      <c r="B1">
        <v>2696.4</v>
      </c>
      <c r="D1" t="s">
        <v>58</v>
      </c>
    </row>
    <row r="2" spans="1:4" ht="13.2">
      <c r="A2" t="s">
        <v>59</v>
      </c>
    </row>
    <row r="3" spans="1:4" ht="13.2">
      <c r="A3" t="s">
        <v>3</v>
      </c>
      <c r="D3" t="s">
        <v>60</v>
      </c>
    </row>
    <row r="4" spans="1:4" ht="13.2">
      <c r="D4" t="s">
        <v>61</v>
      </c>
    </row>
    <row r="5" spans="1:4" ht="13.2">
      <c r="D5" t="s">
        <v>62</v>
      </c>
    </row>
    <row r="7" spans="1:4" ht="13.2">
      <c r="D7" t="s">
        <v>63</v>
      </c>
    </row>
    <row r="10" spans="1:4" ht="13.2">
      <c r="D10" t="s">
        <v>64</v>
      </c>
    </row>
    <row r="11" spans="1:4" ht="13.2">
      <c r="D11" t="s">
        <v>65</v>
      </c>
    </row>
    <row r="12" spans="1:4" ht="13.2">
      <c r="D12" t="s">
        <v>66</v>
      </c>
    </row>
    <row r="14" spans="1:4" ht="13.2">
      <c r="D14" t="s">
        <v>67</v>
      </c>
    </row>
    <row r="15" spans="1:4" ht="13.2">
      <c r="D15" t="s">
        <v>68</v>
      </c>
    </row>
    <row r="18" spans="4:4" ht="13.2">
      <c r="D18" t="s">
        <v>69</v>
      </c>
    </row>
    <row r="19" spans="4:4" ht="13.2">
      <c r="D19" t="s">
        <v>70</v>
      </c>
    </row>
    <row r="21" spans="4:4" ht="13.2">
      <c r="D21" t="s">
        <v>71</v>
      </c>
    </row>
    <row r="22" spans="4:4" ht="13.2">
      <c r="D22" t="s">
        <v>72</v>
      </c>
    </row>
    <row r="24" spans="4:4" ht="13.2">
      <c r="D24" t="s">
        <v>73</v>
      </c>
    </row>
    <row r="25" spans="4:4" ht="13.2">
      <c r="D25" t="s">
        <v>74</v>
      </c>
    </row>
    <row r="27" spans="4:4" ht="13.2">
      <c r="D27" t="s">
        <v>75</v>
      </c>
    </row>
    <row r="29" spans="4:4" ht="13.2">
      <c r="D29" t="s">
        <v>76</v>
      </c>
    </row>
    <row r="31" spans="4:4" ht="13.2">
      <c r="D31" t="s">
        <v>77</v>
      </c>
    </row>
    <row r="33" spans="4:4" ht="13.2">
      <c r="D33" t="s">
        <v>78</v>
      </c>
    </row>
    <row r="35" spans="4:4" ht="13.2">
      <c r="D35" t="s">
        <v>79</v>
      </c>
    </row>
    <row r="36" spans="4:4" ht="13.2">
      <c r="D36" t="s">
        <v>80</v>
      </c>
    </row>
    <row r="37" spans="4:4" ht="13.2">
      <c r="D37" t="s">
        <v>81</v>
      </c>
    </row>
    <row r="38" spans="4:4" ht="13.2">
      <c r="D38" t="s">
        <v>82</v>
      </c>
    </row>
    <row r="39" spans="4:4" ht="13.2">
      <c r="D39" s="31" t="s">
        <v>83</v>
      </c>
    </row>
    <row r="40" spans="4:4" ht="13.2">
      <c r="D40" s="31" t="s">
        <v>84</v>
      </c>
    </row>
    <row r="41" spans="4:4" ht="13.2">
      <c r="D41" s="31" t="s">
        <v>85</v>
      </c>
    </row>
    <row r="43" spans="4:4" ht="13.2">
      <c r="D43" t="s">
        <v>86</v>
      </c>
    </row>
    <row r="44" spans="4:4" ht="13.2">
      <c r="D44" t="s">
        <v>87</v>
      </c>
    </row>
    <row r="46" spans="4:4" ht="13.2">
      <c r="D46" t="s">
        <v>88</v>
      </c>
    </row>
    <row r="48" spans="4:4" ht="13.2">
      <c r="D48" t="s">
        <v>89</v>
      </c>
    </row>
    <row r="49" spans="4:4" ht="13.2">
      <c r="D49" t="s">
        <v>90</v>
      </c>
    </row>
    <row r="52" spans="4:4" ht="12.75" customHeight="1">
      <c r="D52" t="s">
        <v>91</v>
      </c>
    </row>
  </sheetData>
  <printOptions horizontalCentered="1"/>
  <pageMargins left="0.78749999999999998" right="0.78749999999999998" top="0.78749999999999998" bottom="1.0249999999999999" header="0.511811023622047" footer="0.78749999999999998"/>
  <pageSetup orientation="portrait" horizontalDpi="300" verticalDpi="300"/>
  <headerFooter>
    <oddFooter>&amp;C&amp;K000000Seite &amp;Kffffff&amp;P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Planilha9"/>
  <dimension ref="A1:T15"/>
  <sheetViews>
    <sheetView topLeftCell="I1" zoomScaleNormal="100" workbookViewId="0">
      <selection activeCell="Q3" sqref="Q3"/>
    </sheetView>
  </sheetViews>
  <sheetFormatPr defaultColWidth="13.21875" defaultRowHeight="12.75" customHeight="1"/>
  <cols>
    <col min="6" max="6" width="17.5546875" customWidth="1"/>
    <col min="7" max="7" width="16" customWidth="1"/>
    <col min="15" max="15" width="14.6640625" customWidth="1"/>
  </cols>
  <sheetData>
    <row r="1" spans="1:20">
      <c r="A1" t="s">
        <v>92</v>
      </c>
      <c r="E1" t="s">
        <v>93</v>
      </c>
      <c r="G1" t="s">
        <v>94</v>
      </c>
      <c r="I1" s="32"/>
      <c r="J1" t="s">
        <v>95</v>
      </c>
      <c r="K1" s="32"/>
      <c r="L1" s="33" t="s">
        <v>96</v>
      </c>
      <c r="M1" s="32"/>
      <c r="N1" t="s">
        <v>97</v>
      </c>
      <c r="O1" s="34" t="s">
        <v>98</v>
      </c>
      <c r="P1" t="s">
        <v>99</v>
      </c>
      <c r="R1" t="s">
        <v>119</v>
      </c>
      <c r="S1" s="48"/>
      <c r="T1" t="s">
        <v>120</v>
      </c>
    </row>
    <row r="2" spans="1:20">
      <c r="A2">
        <v>980000</v>
      </c>
      <c r="D2" t="s">
        <v>4</v>
      </c>
      <c r="E2">
        <v>24000</v>
      </c>
      <c r="I2" s="32"/>
      <c r="K2" s="32"/>
      <c r="L2" s="33">
        <v>6500</v>
      </c>
      <c r="M2" s="32"/>
      <c r="N2">
        <v>-24</v>
      </c>
      <c r="O2" s="35">
        <f>SUM(K2+N8+J2)</f>
        <v>-245.27</v>
      </c>
      <c r="P2">
        <v>150000</v>
      </c>
      <c r="R2" s="65">
        <f>(7086.11-500-500-500-500-200-50-50)</f>
        <v>4786.1099999999997</v>
      </c>
      <c r="S2">
        <f>(500+500+500+500)</f>
        <v>2000</v>
      </c>
      <c r="T2">
        <v>3646.56</v>
      </c>
    </row>
    <row r="3" spans="1:20">
      <c r="D3" t="s">
        <v>5</v>
      </c>
      <c r="E3" s="34">
        <v>18000</v>
      </c>
      <c r="F3" t="s">
        <v>100</v>
      </c>
      <c r="I3" s="32"/>
      <c r="K3" s="32"/>
      <c r="L3" s="33" t="s">
        <v>101</v>
      </c>
      <c r="M3" s="32"/>
      <c r="N3">
        <v>-221.27</v>
      </c>
      <c r="T3" s="48"/>
    </row>
    <row r="4" spans="1:20">
      <c r="D4" t="s">
        <v>3</v>
      </c>
      <c r="E4" s="34">
        <v>15000</v>
      </c>
      <c r="F4" t="s">
        <v>100</v>
      </c>
      <c r="I4" s="32"/>
      <c r="R4" s="48"/>
    </row>
    <row r="5" spans="1:20">
      <c r="D5" t="s">
        <v>102</v>
      </c>
      <c r="E5">
        <v>6500</v>
      </c>
      <c r="F5" t="s">
        <v>96</v>
      </c>
    </row>
    <row r="6" spans="1:20">
      <c r="D6" t="s">
        <v>103</v>
      </c>
    </row>
    <row r="7" spans="1:20">
      <c r="D7" t="s">
        <v>104</v>
      </c>
      <c r="J7" t="s">
        <v>105</v>
      </c>
      <c r="K7">
        <v>9176.02</v>
      </c>
    </row>
    <row r="8" spans="1:20">
      <c r="D8" t="s">
        <v>106</v>
      </c>
      <c r="J8" t="s">
        <v>107</v>
      </c>
      <c r="L8" s="36">
        <f>(L2+M2)</f>
        <v>6500</v>
      </c>
      <c r="N8" s="36">
        <f>SUM(N2:N7)</f>
        <v>-245.27</v>
      </c>
      <c r="R8" s="48"/>
    </row>
    <row r="9" spans="1:20">
      <c r="D9" t="s">
        <v>108</v>
      </c>
    </row>
    <row r="10" spans="1:20">
      <c r="D10" t="s">
        <v>109</v>
      </c>
    </row>
    <row r="11" spans="1:20">
      <c r="D11" t="s">
        <v>110</v>
      </c>
      <c r="E11" t="s">
        <v>111</v>
      </c>
    </row>
    <row r="12" spans="1:20">
      <c r="D12" t="s">
        <v>112</v>
      </c>
      <c r="E12" t="s">
        <v>113</v>
      </c>
    </row>
    <row r="13" spans="1:20">
      <c r="D13" t="s">
        <v>4</v>
      </c>
      <c r="N13" t="s">
        <v>114</v>
      </c>
      <c r="P13" t="s">
        <v>115</v>
      </c>
    </row>
    <row r="14" spans="1:20">
      <c r="D14" t="s">
        <v>5</v>
      </c>
      <c r="L14" t="s">
        <v>116</v>
      </c>
      <c r="N14">
        <v>9411.48</v>
      </c>
      <c r="O14">
        <v>5865</v>
      </c>
      <c r="P14" s="36">
        <f>-(N14-O14)</f>
        <v>-3546.4799999999996</v>
      </c>
    </row>
    <row r="15" spans="1:20">
      <c r="E15" t="s">
        <v>117</v>
      </c>
      <c r="L15" t="s">
        <v>21</v>
      </c>
      <c r="M15">
        <v>21000</v>
      </c>
    </row>
  </sheetData>
  <printOptions horizontalCentered="1"/>
  <pageMargins left="0.78749999999999998" right="0.78749999999999998" top="0.78749999999999998" bottom="1.0249999999999999" header="0.511811023622047" footer="0.78749999999999998"/>
  <pageSetup orientation="portrait" horizontalDpi="300" verticalDpi="300" r:id="rId1"/>
  <headerFooter>
    <oddFooter>&amp;C&amp;K000000Seite &amp;Kffffff&amp;P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7566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6</vt:i4>
      </vt:variant>
    </vt:vector>
  </HeadingPairs>
  <TitlesOfParts>
    <vt:vector size="6" baseType="lpstr">
      <vt:lpstr>2026</vt:lpstr>
      <vt:lpstr>Medidores</vt:lpstr>
      <vt:lpstr>Meu capital</vt:lpstr>
      <vt:lpstr>Dias de negociação</vt:lpstr>
      <vt:lpstr>Observações</vt:lpstr>
      <vt:lpstr>Planos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Edvaldo Rodrigues Da Silva</cp:lastModifiedBy>
  <cp:revision>476</cp:revision>
  <dcterms:created xsi:type="dcterms:W3CDTF">2023-10-01T20:44:10Z</dcterms:created>
  <dcterms:modified xsi:type="dcterms:W3CDTF">2026-01-20T22:45:04Z</dcterms:modified>
  <dc:language>pt-BR</dc:language>
</cp:coreProperties>
</file>